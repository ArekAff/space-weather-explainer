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s" sheetId="1" state="visible" r:id="rId3"/>
    <sheet name="Events (ground truth)" sheetId="2" state="visible" r:id="rId4"/>
    <sheet name="Knowledge sources" sheetId="3" state="visible" r:id="rId5"/>
    <sheet name="SGH library databases" sheetId="4" state="visible" r:id="rId6"/>
  </sheets>
  <definedNames>
    <definedName function="false" hidden="true" localSheetId="0" name="_xlnm._FilterDatabase" vbProcedure="false">Datasets!$A$3:$Z$24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<sst xmlns="http://schemas.openxmlformats.org/spreadsheetml/2006/main" count="776" uniqueCount="657">
  <si>
    <t xml:space="preserve">Dataset catalogue – business case first. Time series with open expert knowledge (research 2026-10-10). Scores are a subjective 1-5 rubric; change the yellow weights in row 2 to re-rank (business case has double weight by default).</t>
  </si>
  <si>
    <t xml:space="preserve">Weights →</t>
  </si>
  <si>
    <t xml:space="preserve">ID</t>
  </si>
  <si>
    <t xml:space="preserve">Domain</t>
  </si>
  <si>
    <t xml:space="preserve">Dataset</t>
  </si>
  <si>
    <t xml:space="preserve">Business problem it helps solve</t>
  </si>
  <si>
    <t xml:space="preserve">Who pays (customer)</t>
  </si>
  <si>
    <t xml:space="preserve">Provider</t>
  </si>
  <si>
    <t xml:space="preserve">Variables</t>
  </si>
  <si>
    <t xml:space="preserve">Resolution</t>
  </si>
  <si>
    <t xml:space="preserve">Coverage</t>
  </si>
  <si>
    <t xml:space="preserve">Access</t>
  </si>
  <si>
    <t xml:space="preserve">Licence / terms</t>
  </si>
  <si>
    <t xml:space="preserve">Example documented events</t>
  </si>
  <si>
    <t xml:space="preserve">Open expert-knowledge sources</t>
  </si>
  <si>
    <t xml:space="preserve">Sample folder</t>
  </si>
  <si>
    <t xml:space="preserve">Business-case strength (1-5)</t>
  </si>
  <si>
    <t xml:space="preserve">Data volume &amp; frequency (1-5)</t>
  </si>
  <si>
    <t xml:space="preserve">Density of explainable events (1-5)</t>
  </si>
  <si>
    <t xml:space="preserve">Openness of expert knowledge (1-5)</t>
  </si>
  <si>
    <t xml:space="preserve">Similarity-search potential (1-5)</t>
  </si>
  <si>
    <t xml:space="preserve">Ease of access (1-5)</t>
  </si>
  <si>
    <t xml:space="preserve">Polish relevance (1-5)</t>
  </si>
  <si>
    <t xml:space="preserve">Multi-timeframe similarity suitability (1-5)</t>
  </si>
  <si>
    <t xml:space="preserve">Weighted score</t>
  </si>
  <si>
    <t xml:space="preserve">Score % of max</t>
  </si>
  <si>
    <t xml:space="preserve">Tier (A ≥ 80%, B ≥ 65%)</t>
  </si>
  <si>
    <t xml:space="preserve">Rank</t>
  </si>
  <si>
    <t xml:space="preserve">E1</t>
  </si>
  <si>
    <t xml:space="preserve">Energy &amp; solar</t>
  </si>
  <si>
    <t xml:space="preserve">Public power generation &amp; load (Energy-Charts)</t>
  </si>
  <si>
    <t xml:space="preserve">Explain PV/load deviations per 15 min (curtailment, eclipse, dust, weather vs. fault); lost-energy attribution; forecast correction. Public data to build &amp; prove the product (licence: non-commercial)</t>
  </si>
  <si>
    <t xml:space="preserve">PV owners &amp; O&amp;M, aggregators / traders (BRPs), DSOs</t>
  </si>
  <si>
    <t xml:space="preserve">Fraunhofer ISE (data from ENTSO-E/TSOs)</t>
  </si>
  <si>
    <t xml:space="preserve">Generation by source incl. solar, wind; load; prices (not redistributable)</t>
  </si>
  <si>
    <t xml:space="preserve">15 min / 1 h</t>
  </si>
  <si>
    <t xml:space="preserve">2015 → today, ~40 European countries incl. PL</t>
  </si>
  <si>
    <t xml:space="preserve">REST API https://api.energy-charts.info (no key)</t>
  </si>
  <si>
    <t xml:space="preserve">Free for non-commercial &amp; journalistic use, credit 'Energy-Charts / Fraunhofer ISE'</t>
  </si>
  <si>
    <t xml:space="preserve">Eclipses 20 Mar 2015, 25 Oct 2022, 29 Mar 2025, 12 Aug 2026; Iberian blackout 28 Apr 2025; COVID-19 lockdowns 2020; holidays; Saharan dust</t>
  </si>
  <si>
    <t xml:space="preserve">ENTSO-E eclipse &amp; incident reports; NASA eclipse catalogue; IEA PVPS reports; Fraunhofer ISE reports</t>
  </si>
  <si>
    <t xml:space="preserve">01, 03</t>
  </si>
  <si>
    <t xml:space="preserve">E2</t>
  </si>
  <si>
    <t xml:space="preserve">ENTSO-E Transparency Platform</t>
  </si>
  <si>
    <t xml:space="preserve">Same as E1 for a commercial product, plus outage reasons (REMIT UMMs) for traders; incident analysis</t>
  </si>
  <si>
    <t xml:space="preserve">Traders / BRPs, generators, TSOs</t>
  </si>
  <si>
    <t xml:space="preserve">ENTSO-E</t>
  </si>
  <si>
    <t xml:space="preserve">Load, generation per type/unit, cross-border flows, outages, prices</t>
  </si>
  <si>
    <t xml:space="preserve">2015 → today, all EU TSOs</t>
  </si>
  <si>
    <t xml:space="preserve">Web + REST API (free security token after registration)</t>
  </si>
  <si>
    <t xml:space="preserve">ENTSO-E terms of use (free reuse with attribution for most data)</t>
  </si>
  <si>
    <t xml:space="preserve">Same as E1 + unit outages (each with a published reason code)</t>
  </si>
  <si>
    <t xml:space="preserve">ENTSO-E incident investigation reports (2006, 2021 split, 2025 blackout)</t>
  </si>
  <si>
    <t xml:space="preserve">—</t>
  </si>
  <si>
    <t xml:space="preserve">E3</t>
  </si>
  <si>
    <t xml:space="preserve">PSE system data (Poland)</t>
  </si>
  <si>
    <t xml:space="preserve">Polish PV &amp; curtailment attribution; explaining imbalance costs (15-min settlement since 14 Jun 2024)</t>
  </si>
  <si>
    <t xml:space="preserve">Polish PV owners, aggregators, DSOs</t>
  </si>
  <si>
    <t xml:space="preserve">PSE S.A.</t>
  </si>
  <si>
    <t xml:space="preserve">Demand, PV, wind, generation groups, balancing</t>
  </si>
  <si>
    <t xml:space="preserve">15 min</t>
  </si>
  <si>
    <t xml:space="preserve">API v2 from 14 Jun 2024; historical CSV reports earlier</t>
  </si>
  <si>
    <t xml:space="preserve">REST/OData API https://api.raporty.pse.pl/api/ (no key)</t>
  </si>
  <si>
    <t xml:space="preserve">Public data of the Polish TSO (cite PSE S.A.)</t>
  </si>
  <si>
    <t xml:space="preserve">Eclipses, holidays, heat waves, PV curtailment days, 2026-08-12 sunset eclipse (negative example)</t>
  </si>
  <si>
    <t xml:space="preserve">PSE reports, URE/ARE reports, Polish OA literature (BazTech, Biblioteka Nauki)</t>
  </si>
  <si>
    <t xml:space="preserve">03</t>
  </si>
  <si>
    <t xml:space="preserve">E4</t>
  </si>
  <si>
    <t xml:space="preserve">Solar irradiance at ground stations (BSRN / NREL MIDC / DWD / Open Data Zürich)</t>
  </si>
  <si>
    <t xml:space="preserve">Expected vs. actual irradiance → diagnose PV underperformance (soiling, snow, eclipse, dust)</t>
  </si>
  <si>
    <t xml:space="preserve">PV O&amp;M firms, solar forecasters</t>
  </si>
  <si>
    <t xml:space="preserve">WMO BSRN (PANGAEA), NREL, DWD, City of Zürich</t>
  </si>
  <si>
    <t xml:space="preserve">Global/direct/diffuse irradiance, temperature, pressure</t>
  </si>
  <si>
    <t xml:space="preserve">1 min (BSRN, MIDC), 10 min (DWD), 1 h (Zürich)</t>
  </si>
  <si>
    <t xml:space="preserve">1992 → (BSRN); decades</t>
  </si>
  <si>
    <t xml:space="preserve">PANGAEA (free registration), NREL MIDC web API, DWD open data FTP, data.stadt-zuerich.ch</t>
  </si>
  <si>
    <t xml:space="preserve">BSRN: free after registration, attribution; NREL: public domain; DWD and Zürich: open-data terms, attribution</t>
  </si>
  <si>
    <t xml:space="preserve">Eclipses, volcanic aerosols, Saharan dust, fog, snow</t>
  </si>
  <si>
    <t xml:space="preserve">Stull 'Practical Meteorology' (free, CC), pvlib docs, NASA eclipse catalogue</t>
  </si>
  <si>
    <t xml:space="preserve">01</t>
  </si>
  <si>
    <t xml:space="preserve">E5</t>
  </si>
  <si>
    <t xml:space="preserve">Power-grid frequency database</t>
  </si>
  <si>
    <t xml:space="preserve">Explain frequency events for grid-stability services</t>
  </si>
  <si>
    <t xml:space="preserve">TSOs, battery / flexibility operators</t>
  </si>
  <si>
    <t xml:space="preserve">Kruse/Schäfer/Witthaut et al. (arXiv:2006.01771)</t>
  </si>
  <si>
    <t xml:space="preserve">Grid frequency (Continental Europe, Nordic, GB, others)</t>
  </si>
  <si>
    <t xml:space="preserve">1 s or faster</t>
  </si>
  <si>
    <t xml:space="preserve">Selected measurement campaigns (see paper)</t>
  </si>
  <si>
    <t xml:space="preserve">Zenodo / project pages</t>
  </si>
  <si>
    <t xml:space="preserve">Open research data (check record)</t>
  </si>
  <si>
    <t xml:space="preserve">Deterministic deviations at hourly market changes, 8 Jan 2021 system split (other sources)</t>
  </si>
  <si>
    <t xml:space="preserve">Papers by the same group (OA), ENTSO-E reports</t>
  </si>
  <si>
    <t xml:space="preserve">S1</t>
  </si>
  <si>
    <t xml:space="preserve">Space weather</t>
  </si>
  <si>
    <t xml:space="preserve">Geomagnetic indices Kp, ap, Hp30/Hp60 (GFZ)</t>
  </si>
  <si>
    <t xml:space="preserve">Is a GNSS / HF / satellite problem caused by space weather? Severity from similar past storms</t>
  </si>
  <si>
    <t xml:space="preserve">Precision-ag &amp; RTK providers, drone/survey firms, airlines, satellite operators, parametric insurers</t>
  </si>
  <si>
    <t xml:space="preserve">GFZ Potsdam</t>
  </si>
  <si>
    <t xml:space="preserve">Kp (3 h), Hp30/Hp60 (open-ended), ap/Ap, also SN &amp; F10.7</t>
  </si>
  <si>
    <t xml:space="preserve">30 min – 3 h</t>
  </si>
  <si>
    <t xml:space="preserve">Kp since 1932</t>
  </si>
  <si>
    <t xml:space="preserve">JSON API https://kp.gfz.de/app/json/ , FTP</t>
  </si>
  <si>
    <t xml:space="preserve">CC BY 4.0</t>
  </si>
  <si>
    <t xml:space="preserve">Gannon storm 10–11 May 2024 (G5); Halloween 2003; Mar 1989 Quebec; Aug 1972</t>
  </si>
  <si>
    <t xml:space="preserve">NOAA SWPC scales &amp; event pages; GFZ papers; AGU 'Space Weather' (many OA)</t>
  </si>
  <si>
    <t xml:space="preserve">02</t>
  </si>
  <si>
    <t xml:space="preserve">S2</t>
  </si>
  <si>
    <t xml:space="preserve">CelesTrak space-weather file (Kp, Ap, ISN, F10.7)</t>
  </si>
  <si>
    <t xml:space="preserve">Long history for the analogue ('similar storms') search in S1</t>
  </si>
  <si>
    <t xml:space="preserve">Same as S1</t>
  </si>
  <si>
    <t xml:space="preserve">CelesTrak (T.S. Kelso) compiling GFZ, SILSO, NRCan</t>
  </si>
  <si>
    <t xml:space="preserve">Daily rows with 8×Kp, 8×ap, sunspot number, F10.7</t>
  </si>
  <si>
    <t xml:space="preserve">Daily (3-hourly Kp)</t>
  </si>
  <si>
    <t xml:space="preserve">1957 → today</t>
  </si>
  <si>
    <t xml:space="preserve">https://celestrak.org/SpaceData/SW-All.txt (also bundled in PyPI 'spaceweather')</t>
  </si>
  <si>
    <t xml:space="preserve">No licence requirement; cite CelesTrak (Kp CC BY 4.0 GFZ)</t>
  </si>
  <si>
    <t xml:space="preserve">As S1 + solar-cycle maxima/minima</t>
  </si>
  <si>
    <t xml:space="preserve">SILSO, NOAA SWPC, textbooks</t>
  </si>
  <si>
    <t xml:space="preserve">S3</t>
  </si>
  <si>
    <t xml:space="preserve">Solar wind &amp; IMF (NASA OMNIWeb), GOES X-ray flux (NOAA)</t>
  </si>
  <si>
    <t xml:space="preserve">Hours-ahead warning (solar wind, flares) for the S1 users</t>
  </si>
  <si>
    <t xml:space="preserve">NASA GSFC SPDF; NOAA NCEI/SWPC</t>
  </si>
  <si>
    <t xml:space="preserve">Solar-wind speed, density, Bz; X-ray flux (flares)</t>
  </si>
  <si>
    <t xml:space="preserve">1 min – 1 h</t>
  </si>
  <si>
    <t xml:space="preserve">OMNI hourly 1963 →; GOES 1970s →</t>
  </si>
  <si>
    <t xml:space="preserve">OMNIWeb / CDAWeb; NOAA NCEI</t>
  </si>
  <si>
    <t xml:space="preserve">Public domain (US gov.)</t>
  </si>
  <si>
    <t xml:space="preserve">CME shocks, flare classes (X/M), event lists (SWPC edited events)</t>
  </si>
  <si>
    <t xml:space="preserve">NOAA SWPC event reports; SOHO/LASCO CME catalogue (CDAW)</t>
  </si>
  <si>
    <t xml:space="preserve">A1</t>
  </si>
  <si>
    <t xml:space="preserve">Atmosphere &amp; climate</t>
  </si>
  <si>
    <t xml:space="preserve">IMGW-PIB meteorological data (Poland)</t>
  </si>
  <si>
    <t xml:space="preserve">Weather context that explains anomalies in PV, demand, air quality and insurance data (enabler)</t>
  </si>
  <si>
    <t xml:space="preserve">All other cases (enabler)</t>
  </si>
  <si>
    <t xml:space="preserve">IMGW-PIB</t>
  </si>
  <si>
    <t xml:space="preserve">Synop/climate: temperature, pressure, precipitation, wind, snow, sunshine</t>
  </si>
  <si>
    <t xml:space="preserve">1 h / daily</t>
  </si>
  <si>
    <t xml:space="preserve">1951 →</t>
  </si>
  <si>
    <t xml:space="preserve">https://danepubliczne.imgw.pl (CSV/ZIP) + API (current)</t>
  </si>
  <si>
    <t xml:space="preserve">Free; mandatory attribution text (IMGW regulations §5)</t>
  </si>
  <si>
    <t xml:space="preserve">Heat waves, cold spells, storms, record rainfall Sep 2024 (Genoa low 'Boris')</t>
  </si>
  <si>
    <t xml:space="preserve">IMGW monthly 'Biuletyn Monitoringu Klimatu Polski', annual 'Klimat Polski'; Stull textbook</t>
  </si>
  <si>
    <t xml:space="preserve">A2</t>
  </si>
  <si>
    <t xml:space="preserve">ASOS 1-minute station data (Iowa Environmental Mesonet)</t>
  </si>
  <si>
    <t xml:space="preserve">Tell sensor faults from real (remote) events in station networks</t>
  </si>
  <si>
    <t xml:space="preserve">Weather / IoT network operators</t>
  </si>
  <si>
    <t xml:space="preserve">IEM / NOAA-FAA</t>
  </si>
  <si>
    <t xml:space="preserve">Pressure, temperature, wind, precipitation</t>
  </si>
  <si>
    <t xml:space="preserve">1 min</t>
  </si>
  <si>
    <t xml:space="preserve">2000 →, ~900 US stations</t>
  </si>
  <si>
    <t xml:space="preserve">CGI download service (no key)</t>
  </si>
  <si>
    <t xml:space="preserve">Public domain (credit IEM)</t>
  </si>
  <si>
    <t xml:space="preserve">Hunga Tonga pressure waves 15–16 Jan 2022; derechos; frontal passages</t>
  </si>
  <si>
    <t xml:space="preserve">Matoza et al. 2022 (Science), Wright et al. 2022 (Nature); NOAA Storm Events narratives</t>
  </si>
  <si>
    <t xml:space="preserve">07</t>
  </si>
  <si>
    <t xml:space="preserve">A3</t>
  </si>
  <si>
    <t xml:space="preserve">ERA5 reanalysis</t>
  </si>
  <si>
    <t xml:space="preserve">Counterfactual 'expected' weather for any site (enabler)</t>
  </si>
  <si>
    <t xml:space="preserve">ECMWF / Copernicus C3S</t>
  </si>
  <si>
    <t xml:space="preserve">~all weather variables, global grid</t>
  </si>
  <si>
    <t xml:space="preserve">1 h</t>
  </si>
  <si>
    <t xml:space="preserve">1940 →</t>
  </si>
  <si>
    <t xml:space="preserve">Copernicus CDS API (free account)</t>
  </si>
  <si>
    <t xml:space="preserve">Copernicus licence (free, attribution)</t>
  </si>
  <si>
    <t xml:space="preserve">Heat waves, storms, sudden stratospheric warmings</t>
  </si>
  <si>
    <t xml:space="preserve">C3S monthly climate bulletins (CC BY 4.0); WMO State of Climate</t>
  </si>
  <si>
    <t xml:space="preserve">A4</t>
  </si>
  <si>
    <t xml:space="preserve">NOAA Storm Events Database</t>
  </si>
  <si>
    <t xml:space="preserve">Event narratives for claims and risk analytics (US)</t>
  </si>
  <si>
    <t xml:space="preserve">Insurers (US)</t>
  </si>
  <si>
    <t xml:space="preserve">NOAA NCEI</t>
  </si>
  <si>
    <t xml:space="preserve">Event table with start/end, location, damage + free-text narrative</t>
  </si>
  <si>
    <t xml:space="preserve">Event-level</t>
  </si>
  <si>
    <t xml:space="preserve">1950 →</t>
  </si>
  <si>
    <t xml:space="preserve">CSV bulk download</t>
  </si>
  <si>
    <t xml:space="preserve">Public domain</t>
  </si>
  <si>
    <t xml:space="preserve">Tornadoes, floods, heat, winter storms (with written narratives)</t>
  </si>
  <si>
    <t xml:space="preserve">The narrative itself is the knowledge; join to A2 station data</t>
  </si>
  <si>
    <t xml:space="preserve">P1</t>
  </si>
  <si>
    <t xml:space="preserve">Environment Poland</t>
  </si>
  <si>
    <t xml:space="preserve">Air quality (GIOŚ, PMŚ)</t>
  </si>
  <si>
    <t xml:space="preserve">Explain air-quality exceedances (fireworks vs. heating smog vs. transport/dust) for alerts and policy</t>
  </si>
  <si>
    <t xml:space="preserve">Cities / voivodeships (B2G), building &amp; HVAC operators, health apps</t>
  </si>
  <si>
    <t xml:space="preserve">GIOŚ</t>
  </si>
  <si>
    <t xml:space="preserve">PM10, PM2.5, NO2, O3, SO2, CO, benzene per sensor</t>
  </si>
  <si>
    <t xml:space="preserve">1 h (automatic), 24 h (manual)</t>
  </si>
  <si>
    <t xml:space="preserve">~2000 → (Bank danych pomiarowych), API archive ≤366 days/request</t>
  </si>
  <si>
    <t xml:space="preserve">API https://api.gios.gov.pl/pjp-api/v1/rest (no key)</t>
  </si>
  <si>
    <t xml:space="preserve">Public sector information (cite GIOŚ / PMŚ)</t>
  </si>
  <si>
    <t xml:space="preserve">New Year fireworks, winter smog episodes, Saharan dust, wildfire smoke, COVID-19 NO2 drop</t>
  </si>
  <si>
    <t xml:space="preserve">GIOŚ annual assessments; EEA 'Air quality in Europe'; WHO 2021 guidelines; Polish OA literature</t>
  </si>
  <si>
    <t xml:space="preserve">08</t>
  </si>
  <si>
    <t xml:space="preserve">P2</t>
  </si>
  <si>
    <t xml:space="preserve">Hydrological data (IMGW-PIB)</t>
  </si>
  <si>
    <t xml:space="preserve">Early flood exposure estimates, claims triage, gauge-failure detection; analogue hydrographs</t>
  </si>
  <si>
    <t xml:space="preserve">Insurers &amp; reinsurers, municipalities, Wody Polskie, logistics</t>
  </si>
  <si>
    <t xml:space="preserve">Water level, discharge, water temperature, ice phenomena</t>
  </si>
  <si>
    <t xml:space="preserve">Daily (archive); 10 min (operational, current)</t>
  </si>
  <si>
    <t xml:space="preserve">1951 →, ~900 gauges</t>
  </si>
  <si>
    <t xml:space="preserve">https://danepubliczne.imgw.pl (ZIP/CSV)</t>
  </si>
  <si>
    <t xml:space="preserve">Free; mandatory attribution text</t>
  </si>
  <si>
    <t xml:space="preserve">Floods 1997, 2010, Sep 2024; droughts 2015, 2018; ice jams</t>
  </si>
  <si>
    <t xml:space="preserve">IMGW flood reports &amp; bulletins; Wody Polskie; Polish hydrology literature</t>
  </si>
  <si>
    <t xml:space="preserve">09</t>
  </si>
  <si>
    <t xml:space="preserve">M1</t>
  </si>
  <si>
    <t xml:space="preserve">Medicine</t>
  </si>
  <si>
    <t xml:space="preserve">MIT-BIH Arrhythmia Database</t>
  </si>
  <si>
    <t xml:space="preserve">Holter / ECG triage with similar-beat retrieval and textbook explanations</t>
  </si>
  <si>
    <t xml:space="preserve">Cardiology clinics, Holter labs (medical-device regulation applies)</t>
  </si>
  <si>
    <t xml:space="preserve">PhysioNet (MIT/BIH)</t>
  </si>
  <si>
    <t xml:space="preserve">2-lead ECG + cardiologist beat &amp; rhythm labels</t>
  </si>
  <si>
    <t xml:space="preserve">360 Hz</t>
  </si>
  <si>
    <t xml:space="preserve">48 × 30 min</t>
  </si>
  <si>
    <t xml:space="preserve">physionet.org (wfdb)</t>
  </si>
  <si>
    <t xml:space="preserve">ODC Attribution 1.0</t>
  </si>
  <si>
    <t xml:space="preserve">Premature beats (A, V), bigeminy, ventricular tachycardia runs</t>
  </si>
  <si>
    <t xml:space="preserve">LITFL ECG library (CC BY-NC-SA), ECGpedia, AHA/ESC guidelines, PhysioNet record notes</t>
  </si>
  <si>
    <t xml:space="preserve">05</t>
  </si>
  <si>
    <t xml:space="preserve">M2</t>
  </si>
  <si>
    <t xml:space="preserve">PTB-XL 12-lead ECG</t>
  </si>
  <si>
    <t xml:space="preserve">Same as M1 for 12-lead ECG</t>
  </si>
  <si>
    <t xml:space="preserve">Same as M1</t>
  </si>
  <si>
    <t xml:space="preserve">PhysioNet (PTB)</t>
  </si>
  <si>
    <t xml:space="preserve">10-s 12-lead ECGs + SCP diagnostic statements (text)</t>
  </si>
  <si>
    <t xml:space="preserve">100/500 Hz</t>
  </si>
  <si>
    <t xml:space="preserve">~21,800 records</t>
  </si>
  <si>
    <t xml:space="preserve">physionet.org</t>
  </si>
  <si>
    <t xml:space="preserve">Myocardial infarction, conduction disturbances, hypertrophy</t>
  </si>
  <si>
    <t xml:space="preserve">Same as M1 + the statements themselves</t>
  </si>
  <si>
    <t xml:space="preserve">G1</t>
  </si>
  <si>
    <t xml:space="preserve">Geophysics</t>
  </si>
  <si>
    <t xml:space="preserve">Seismic waveforms + earthquake catalogue</t>
  </si>
  <si>
    <t xml:space="preserve">Is a vibration alarm local or a remote earthquake? (mining, infrastructure)</t>
  </si>
  <si>
    <t xml:space="preserve">Mining companies, infrastructure monitoring, insurers</t>
  </si>
  <si>
    <t xml:space="preserve">EarthScope (IRIS) FDSN, USGS ComCat, (PL: IGF PAN)</t>
  </si>
  <si>
    <t xml:space="preserve">Ground motion; event time, location, magnitude + 'tectonic summary'</t>
  </si>
  <si>
    <t xml:space="preserve">20–100 Hz (waveforms)</t>
  </si>
  <si>
    <t xml:space="preserve">Decades, thousands of stations</t>
  </si>
  <si>
    <t xml:space="preserve">FDSN web services; USGS API</t>
  </si>
  <si>
    <t xml:space="preserve">Open for most networks; USGS public domain</t>
  </si>
  <si>
    <t xml:space="preserve">Every catalogued earthquake (e.g. Turkey M7.8, 6 Feb 2023) appears at predictable times</t>
  </si>
  <si>
    <t xml:space="preserve">USGS event pages; IRIS education; travel-time tables</t>
  </si>
  <si>
    <t xml:space="preserve">X1</t>
  </si>
  <si>
    <t xml:space="preserve">Astronomy</t>
  </si>
  <si>
    <t xml:space="preserve">Kepler / TESS light curves</t>
  </si>
  <si>
    <t xml:space="preserve">No direct business case (scientific)</t>
  </si>
  <si>
    <t xml:space="preserve">NASA (MAST archive)</t>
  </si>
  <si>
    <t xml:space="preserve">Stellar brightness</t>
  </si>
  <si>
    <t xml:space="preserve">2 min – 30 min</t>
  </si>
  <si>
    <t xml:space="preserve">Kepler 2009–2018; TESS 2018 →</t>
  </si>
  <si>
    <t xml:space="preserve">MAST, Python 'lightkurve'</t>
  </si>
  <si>
    <t xml:space="preserve">Public domain (NASA)</t>
  </si>
  <si>
    <t xml:space="preserve">Exoplanet transits, eclipsing binaries, flares, KIC 8462852 dips</t>
  </si>
  <si>
    <t xml:space="preserve">NASA Exoplanet Archive, Kepler EB catalogue, papers (arXiv); OpenStax Astronomy (AI-use restricted!)</t>
  </si>
  <si>
    <t xml:space="preserve">W1</t>
  </si>
  <si>
    <t xml:space="preserve">Attention / web</t>
  </si>
  <si>
    <t xml:space="preserve">Wikipedia page views + article text</t>
  </si>
  <si>
    <t xml:space="preserve">Explain traffic / demand spikes with news; attention as an impact proxy</t>
  </si>
  <si>
    <t xml:space="preserve">Media, e-commerce, marketing</t>
  </si>
  <si>
    <t xml:space="preserve">Wikimedia Foundation</t>
  </si>
  <si>
    <t xml:space="preserve">Daily/hourly views per article &amp; language</t>
  </si>
  <si>
    <t xml:space="preserve">1 h / 1 day</t>
  </si>
  <si>
    <t xml:space="preserve">Jul 2015 →</t>
  </si>
  <si>
    <t xml:space="preserve">REST API (no key), dumps</t>
  </si>
  <si>
    <t xml:space="preserve">Page views CC0; text CC BY-SA 4.0</t>
  </si>
  <si>
    <t xml:space="preserve">Any news event: storms, eclipses, elections, deaths, sport</t>
  </si>
  <si>
    <t xml:space="preserve">Wikipedia articles, 'Portal:Current events', Wikinews</t>
  </si>
  <si>
    <t xml:space="preserve">06</t>
  </si>
  <si>
    <t xml:space="preserve">T1</t>
  </si>
  <si>
    <t xml:space="preserve">Transport / urban</t>
  </si>
  <si>
    <t xml:space="preserve">NYC taxi trips (TLC) – via NAB</t>
  </si>
  <si>
    <t xml:space="preserve">Explain demand anomalies (holidays, weather, events) for forecasting and staffing</t>
  </si>
  <si>
    <t xml:space="preserve">Ride-hailing, retail, transport operators</t>
  </si>
  <si>
    <t xml:space="preserve">NYC Taxi &amp; Limousine Commission</t>
  </si>
  <si>
    <t xml:space="preserve">Trips / passengers (aggregated)</t>
  </si>
  <si>
    <t xml:space="preserve">30 min (NAB)</t>
  </si>
  <si>
    <t xml:space="preserve">2009 → (raw)</t>
  </si>
  <si>
    <t xml:space="preserve">NAB GitHub; TLC open data</t>
  </si>
  <si>
    <t xml:space="preserve">Open data (NYC); NAB repo AGPL-3.0</t>
  </si>
  <si>
    <t xml:space="preserve">Marathon, Thanksgiving, Christmas, New Year, blizzard Jan 2015</t>
  </si>
  <si>
    <t xml:space="preserve">Wikipedia, holiday calendars, NOAA storm reports</t>
  </si>
  <si>
    <t xml:space="preserve">04</t>
  </si>
  <si>
    <t xml:space="preserve">B1</t>
  </si>
  <si>
    <t xml:space="preserve">Benchmarks</t>
  </si>
  <si>
    <t xml:space="preserve">NAB, UCR Anomaly Archive, TSB-UAD</t>
  </si>
  <si>
    <t xml:space="preserve">Evaluation only</t>
  </si>
  <si>
    <t xml:space="preserve">Numenta; UCR (Keogh); Paparrizos et al.</t>
  </si>
  <si>
    <t xml:space="preserve">Labelled anomaly benchmarks</t>
  </si>
  <si>
    <t xml:space="preserve">various</t>
  </si>
  <si>
    <t xml:space="preserve">58 / 250 / ~2,000 series</t>
  </si>
  <si>
    <t xml:space="preserve">GitHub; UCR site; thedatum.org</t>
  </si>
  <si>
    <t xml:space="preserve">AGPL-3.0 / research use / Apache-2.0</t>
  </si>
  <si>
    <t xml:space="preserve">Labelled anomalies (partly with known causes)</t>
  </si>
  <si>
    <t xml:space="preserve">Benchmark papers; critique Wu &amp; Keogh 2021</t>
  </si>
  <si>
    <t xml:space="preserve">04, 05, 11</t>
  </si>
  <si>
    <t xml:space="preserve">Rubric (1 = poor, 5 = excellent):</t>
  </si>
  <si>
    <t xml:space="preserve">Business-case strength – is there a paying user whose costly decision depends on the explanation, with money at stake and data to prove it? (Requirement: the platform must solve a business problem, not only be a study.)</t>
  </si>
  <si>
    <t xml:space="preserve">Data volume &amp; frequency – length × sampling rate × number of series available openly.</t>
  </si>
  <si>
    <t xml:space="preserve">Density of explainable events – how many moments in the data have a documented, dateable cause.</t>
  </si>
  <si>
    <t xml:space="preserve">Openness of expert knowledge – are the explanations in free, citable, machine-readable texts or catalogues?</t>
  </si>
  <si>
    <t xml:space="preserve">Similarity-search potential – recurring shapes (cycles, beats, storms, flood waves) that make 'find similar moments' meaningful.</t>
  </si>
  <si>
    <t xml:space="preserve">Ease of access – no key/registration, stable API, simple formats.</t>
  </si>
  <si>
    <t xml:space="preserve">Polish relevance – Polish data or Polish-language knowledge. Set its weight to 0 to ignore.</t>
  </si>
  <si>
    <t xml:space="preserve">Multi-timeframe similarity suitability – fine base resolution (≥3 meaningful bar sizes), long history, many entities, events to evaluate retrieval, a business-relevant 'what happened after' (see multi_timeframe_similarity/README.md).</t>
  </si>
  <si>
    <t xml:space="preserve">Sample folder – where a real sample is stored in dataset_research/samples/ ('—' = described only).</t>
  </si>
  <si>
    <t xml:space="preserve">Event</t>
  </si>
  <si>
    <t xml:space="preserve">Start (UTC unless noted)</t>
  </si>
  <si>
    <t xml:space="preserve">End</t>
  </si>
  <si>
    <t xml:space="preserve">Affected series</t>
  </si>
  <si>
    <t xml:space="preserve">Signature in the data</t>
  </si>
  <si>
    <t xml:space="preserve">Expert explanation</t>
  </si>
  <si>
    <t xml:space="preserve">Source(s)</t>
  </si>
  <si>
    <t xml:space="preserve">Partial solar eclipse (Central Europe)</t>
  </si>
  <si>
    <t xml:space="preserve">2015-03-20 08:33</t>
  </si>
  <si>
    <t xml:space="preserve">2015-03-20 10:52</t>
  </si>
  <si>
    <t xml:space="preserve">Energy / solar</t>
  </si>
  <si>
    <t xml:space="preserve">DE solar generation; Zürich irradiance</t>
  </si>
  <si>
    <t xml:space="preserve">PV −7 GW in 1 h then +12.7 GW recovery; irradiance dip ~60%</t>
  </si>
  <si>
    <t xml:space="preserve">Moon shadow; ENTSO-E expected −16.9 GW in DE under clear sky</t>
  </si>
  <si>
    <t xml:space="preserve">ENTSO-E Solar Eclipse Impact Analysis (2015); EclipseWise city tables</t>
  </si>
  <si>
    <t xml:space="preserve">Total solar eclipse at sunset (N Spain)</t>
  </si>
  <si>
    <t xml:space="preserve">2026-08-12 17:15</t>
  </si>
  <si>
    <t xml:space="preserve">2026-08-12 19:30</t>
  </si>
  <si>
    <t xml:space="preserve">ES, DE solar; PL (no effect)</t>
  </si>
  <si>
    <t xml:space="preserve">ES solar at 18:00 UTC 4.97 GW vs 9.08 / 6.78 GW on neighbouring days</t>
  </si>
  <si>
    <t xml:space="preserve">Eclipse coincides with low sun; ENTSO-E warned of up to 9.7 GW loss</t>
  </si>
  <si>
    <t xml:space="preserve">ENTSO-E press release 7 Aug 2026; Wikipedia 'Solar eclipse of August 12, 2026'</t>
  </si>
  <si>
    <t xml:space="preserve">Iberian blackout</t>
  </si>
  <si>
    <t xml:space="preserve">2025-04-28 10:33</t>
  </si>
  <si>
    <t xml:space="preserve">2025-04-29 (restoration)</t>
  </si>
  <si>
    <t xml:space="preserve">Power grid</t>
  </si>
  <si>
    <t xml:space="preserve">ES load, nuclear, gas, hydro</t>
  </si>
  <si>
    <t xml:space="preserve">Nuclear 3.4 GW → 0; load series missing; overnight gas ramp</t>
  </si>
  <si>
    <t xml:space="preserve">Voltage-control / reactive-power failures, cascading disconnections, loss of synchronism at 12:33:19 CEST</t>
  </si>
  <si>
    <t xml:space="preserve">ENTSO-E Expert Panel final report (Mar 2026)</t>
  </si>
  <si>
    <t xml:space="preserve">'Gannon' geomagnetic storm (G5)</t>
  </si>
  <si>
    <t xml:space="preserve">2024-05-10 17:00</t>
  </si>
  <si>
    <t xml:space="preserve">2024-05-12 06:00</t>
  </si>
  <si>
    <t xml:space="preserve">Kp/Hp30/Ap; Wikipedia 'Aurora' views</t>
  </si>
  <si>
    <t xml:space="preserve">Hp30 up to 11.3; daily Ap 271; page views ×100</t>
  </si>
  <si>
    <t xml:space="preserve">Several CMEs from active region 13664</t>
  </si>
  <si>
    <t xml:space="preserve">NOAA SWPC (G5 observed 22:54 UTC 10 May); Yamazaki et al. 2024 (GFZ)</t>
  </si>
  <si>
    <t xml:space="preserve">02, 06</t>
  </si>
  <si>
    <t xml:space="preserve">Severe geomagnetic storm (G4)</t>
  </si>
  <si>
    <t xml:space="preserve">2024-10-10 00:00</t>
  </si>
  <si>
    <t xml:space="preserve">2024-10-11 23:59</t>
  </si>
  <si>
    <t xml:space="preserve">Ap; Wikipedia 'Aurora' views</t>
  </si>
  <si>
    <t xml:space="preserve">Daily Ap 97 and 116; en 'Aurora' 122k views on 11 Oct</t>
  </si>
  <si>
    <t xml:space="preserve">CME arrival</t>
  </si>
  <si>
    <t xml:space="preserve">NOAA SWPC alerts archive; GFZ Kp</t>
  </si>
  <si>
    <t xml:space="preserve">Halloween storms</t>
  </si>
  <si>
    <t xml:space="preserve">2003-10-29 00:00</t>
  </si>
  <si>
    <t xml:space="preserve">2003-10-31 23:59</t>
  </si>
  <si>
    <t xml:space="preserve">Kp/Ap</t>
  </si>
  <si>
    <t xml:space="preserve">Ap 204 on 29 Oct</t>
  </si>
  <si>
    <t xml:space="preserve">Series of X-class flares and CMEs</t>
  </si>
  <si>
    <t xml:space="preserve">NOAA service assessment 'Intense Space Weather Storms Oct 19 – Nov 07, 2003'</t>
  </si>
  <si>
    <t xml:space="preserve">March 1989 storm</t>
  </si>
  <si>
    <t xml:space="preserve">1989-03-13 00:00</t>
  </si>
  <si>
    <t xml:space="preserve">1989-03-14 23:59</t>
  </si>
  <si>
    <t xml:space="preserve">Ap 246; Kp 9</t>
  </si>
  <si>
    <t xml:space="preserve">CME; caused the Hydro-Québec blackout</t>
  </si>
  <si>
    <t xml:space="preserve">NOAA/NASA educational pages; literature</t>
  </si>
  <si>
    <t xml:space="preserve">Hunga Tonga–Hunga Ha'apai eruption</t>
  </si>
  <si>
    <t xml:space="preserve">2022-01-15 04:15</t>
  </si>
  <si>
    <t xml:space="preserve">2022-01-16 12:00</t>
  </si>
  <si>
    <t xml:space="preserve">Atmosphere</t>
  </si>
  <si>
    <t xml:space="preserve">1-min station pressure worldwide</t>
  </si>
  <si>
    <t xml:space="preserve">+0.6/−0.5 hPa at DSM ~14:00 UTC; second pass ~06:55 UTC next day</t>
  </si>
  <si>
    <t xml:space="preserve">Lamb wave from the explosive eruption (~310 m/s)</t>
  </si>
  <si>
    <t xml:space="preserve">Matoza et al. 2022 (Science); Wright et al. 2022 (Nature)</t>
  </si>
  <si>
    <t xml:space="preserve">Flood in SW Poland (Genoa low 'Boris')</t>
  </si>
  <si>
    <t xml:space="preserve">2024-09-13 00:00</t>
  </si>
  <si>
    <t xml:space="preserve">2024-09-25 23:59</t>
  </si>
  <si>
    <t xml:space="preserve">Hydrology PL</t>
  </si>
  <si>
    <t xml:space="preserve">IMGW water levels/flows</t>
  </si>
  <si>
    <t xml:space="preserve">Kłodzko daily mean 669 cm (15 Sep); wave reaches Brzeg Dolny 946 cm (20 Sep); Głuchołazy series stops 15 Sep</t>
  </si>
  <si>
    <t xml:space="preserve">Extreme multi-day rainfall in the Sudetes; IMGW reported 798 cm at Kłodzko (1997: 655 cm), sensor damaged</t>
  </si>
  <si>
    <t xml:space="preserve">IMGW-PIB communiqués; Rzeczpospolita 16 Sep 2024</t>
  </si>
  <si>
    <t xml:space="preserve">New Year fireworks</t>
  </si>
  <si>
    <t xml:space="preserve">2025-01-01 00:00</t>
  </si>
  <si>
    <t xml:space="preserve">2025-01-01 02:00 (CET)</t>
  </si>
  <si>
    <t xml:space="preserve">Air quality PL</t>
  </si>
  <si>
    <t xml:space="preserve">GIOŚ PM2.5/PM10</t>
  </si>
  <si>
    <t xml:space="preserve">Warsaw PM2.5 65.7 µg/m³ in the first hour (≈2× neighbours)</t>
  </si>
  <si>
    <t xml:space="preserve">Fireworks emissions</t>
  </si>
  <si>
    <t xml:space="preserve">GIOŚ data; EEA/GIOŚ reports on episodic emissions</t>
  </si>
  <si>
    <t xml:space="preserve">Winter smog episode (Kraków)</t>
  </si>
  <si>
    <t xml:space="preserve">2024-12-29 12:00</t>
  </si>
  <si>
    <t xml:space="preserve">2024-12-30 06:00 (CET)</t>
  </si>
  <si>
    <t xml:space="preserve">Kraków PM2.5 ~90 µg/m³ in the evening</t>
  </si>
  <si>
    <t xml:space="preserve">Solid-fuel heating + inversion + low wind in a basin</t>
  </si>
  <si>
    <t xml:space="preserve">GIOŚ annual assessment; IMGW meteorological data</t>
  </si>
  <si>
    <t xml:space="preserve">NYC Marathon</t>
  </si>
  <si>
    <t xml:space="preserve">2014-11-02 00:00</t>
  </si>
  <si>
    <t xml:space="preserve">2014-11-02 23:59 (local)</t>
  </si>
  <si>
    <t xml:space="preserve">Transport</t>
  </si>
  <si>
    <t xml:space="preserve">NYC taxi passengers</t>
  </si>
  <si>
    <t xml:space="preserve">Unusual daily profile</t>
  </si>
  <si>
    <t xml:space="preserve">Road closures, mass event</t>
  </si>
  <si>
    <t xml:space="preserve">NAB README; Wikipedia</t>
  </si>
  <si>
    <t xml:space="preserve">Thanksgiving</t>
  </si>
  <si>
    <t xml:space="preserve">2014-11-27 00:00</t>
  </si>
  <si>
    <t xml:space="preserve">2014-11-28 23:59 (local)</t>
  </si>
  <si>
    <t xml:space="preserve">Low demand</t>
  </si>
  <si>
    <t xml:space="preserve">Public holiday</t>
  </si>
  <si>
    <t xml:space="preserve">NAB README; holiday calendar</t>
  </si>
  <si>
    <t xml:space="preserve">Christmas</t>
  </si>
  <si>
    <t xml:space="preserve">2014-12-24 00:00</t>
  </si>
  <si>
    <t xml:space="preserve">2014-12-26 23:59 (local)</t>
  </si>
  <si>
    <t xml:space="preserve">New Year</t>
  </si>
  <si>
    <t xml:space="preserve">2014-12-31 18:00</t>
  </si>
  <si>
    <t xml:space="preserve">2015-01-01 23:59 (local)</t>
  </si>
  <si>
    <t xml:space="preserve">Night peak, then low day</t>
  </si>
  <si>
    <t xml:space="preserve">Blizzard 'Juno' and NYC travel ban</t>
  </si>
  <si>
    <t xml:space="preserve">2015-01-26 00:00</t>
  </si>
  <si>
    <t xml:space="preserve">2015-01-27 23:59 (local)</t>
  </si>
  <si>
    <t xml:space="preserve">Demand collapses to ~0</t>
  </si>
  <si>
    <t xml:space="preserve">Travel ban 26 Jan 23:00 – 27 Jan</t>
  </si>
  <si>
    <t xml:space="preserve">NAB README; Wikipedia 'January 2015 North American blizzard'</t>
  </si>
  <si>
    <t xml:space="preserve">Independence Day eve (not labelled in NAB)</t>
  </si>
  <si>
    <t xml:space="preserve">2014-07-03 00:00</t>
  </si>
  <si>
    <t xml:space="preserve">2014-07-04 23:59 (local)</t>
  </si>
  <si>
    <t xml:space="preserve">Top-5 matrix-profile discord</t>
  </si>
  <si>
    <t xml:space="preserve">Public holiday – found only by the unsupervised demo</t>
  </si>
  <si>
    <t xml:space="preserve">US federal holiday calendar</t>
  </si>
  <si>
    <t xml:space="preserve">Atrial premature beats (record 100)</t>
  </si>
  <si>
    <t xml:space="preserve">sample 2044 (5.7 s) …</t>
  </si>
  <si>
    <t xml:space="preserve">33 beats</t>
  </si>
  <si>
    <t xml:space="preserve">ECG lead MLII</t>
  </si>
  <si>
    <t xml:space="preserve">Early beat with abnormal P wave, narrow QRS</t>
  </si>
  <si>
    <t xml:space="preserve">Premature atrial depolarisation</t>
  </si>
  <si>
    <t xml:space="preserve">MIT-BIH annotations (cardiologists); LITFL ECG library</t>
  </si>
  <si>
    <t xml:space="preserve">Source</t>
  </si>
  <si>
    <t xml:space="preserve">Type</t>
  </si>
  <si>
    <t xml:space="preserve">URL</t>
  </si>
  <si>
    <t xml:space="preserve">Machine-readable?</t>
  </si>
  <si>
    <t xml:space="preserve">Notes for the system (RAG / event catalogue)</t>
  </si>
  <si>
    <t xml:space="preserve">NASA Eclipse Web Site (F. Espenak)</t>
  </si>
  <si>
    <t xml:space="preserve">Structured catalogue</t>
  </si>
  <si>
    <t xml:space="preserve">Solar/lunar eclipses</t>
  </si>
  <si>
    <t xml:space="preserve">https://eclipse.gsfc.nasa.gov/</t>
  </si>
  <si>
    <t xml:space="preserve">Yes (tables, Besselian elements)</t>
  </si>
  <si>
    <t xml:space="preserve">Ideal 'known event' list; compute local circumstances per site</t>
  </si>
  <si>
    <t xml:space="preserve">ENTSO-E publications (eclipse analyses, incident reports)</t>
  </si>
  <si>
    <t xml:space="preserve">Expert reports (PDF)</t>
  </si>
  <si>
    <t xml:space="preserve">https://www.entsoe.eu/publications/</t>
  </si>
  <si>
    <t xml:space="preserve">Free to read; check reuse terms</t>
  </si>
  <si>
    <t xml:space="preserve">PDF text</t>
  </si>
  <si>
    <t xml:space="preserve">Primary explanations for grid anomalies</t>
  </si>
  <si>
    <t xml:space="preserve">NOAA SWPC – Space Weather Scales, alerts, event lists</t>
  </si>
  <si>
    <t xml:space="preserve">Scales + bulletins</t>
  </si>
  <si>
    <t xml:space="preserve">https://www.swpc.noaa.gov/noaa-scales-explanation</t>
  </si>
  <si>
    <t xml:space="preserve">Yes (text, JSON feeds)</t>
  </si>
  <si>
    <t xml:space="preserve">Maps Kp to G-levels and expected impacts</t>
  </si>
  <si>
    <t xml:space="preserve">Matzka et al. 2021, 'The geomagnetic Kp index and derived indices'</t>
  </si>
  <si>
    <t xml:space="preserve">Peer-reviewed (OA)</t>
  </si>
  <si>
    <t xml:space="preserve">https://doi.org/10.1029/2020SW002641</t>
  </si>
  <si>
    <t xml:space="preserve">CC BY (AGU OA)</t>
  </si>
  <si>
    <t xml:space="preserve">PDF/HTML</t>
  </si>
  <si>
    <t xml:space="preserve">Defines the indices used in sample 02</t>
  </si>
  <si>
    <t xml:space="preserve">SILSO (Royal Observatory of Belgium)</t>
  </si>
  <si>
    <t xml:space="preserve">Data + documentation</t>
  </si>
  <si>
    <t xml:space="preserve">Solar cycle</t>
  </si>
  <si>
    <t xml:space="preserve">https://www.sidc.be/SILSO/</t>
  </si>
  <si>
    <t xml:space="preserve">CC BY-NC 4.0</t>
  </si>
  <si>
    <t xml:space="preserve">Yes</t>
  </si>
  <si>
    <t xml:space="preserve">Sunspot number, cycle dates</t>
  </si>
  <si>
    <t xml:space="preserve">Smithsonian Global Volcanism Program</t>
  </si>
  <si>
    <t xml:space="preserve">Structured catalogue + weekly reports</t>
  </si>
  <si>
    <t xml:space="preserve">Volcanoes</t>
  </si>
  <si>
    <t xml:space="preserve">https://volcano.si.edu/</t>
  </si>
  <si>
    <t xml:space="preserve">Free use with citation</t>
  </si>
  <si>
    <t xml:space="preserve">Yes (database, reports)</t>
  </si>
  <si>
    <t xml:space="preserve">Eruption dates for atmospheric anomalies</t>
  </si>
  <si>
    <t xml:space="preserve">USGS ComCat event pages</t>
  </si>
  <si>
    <t xml:space="preserve">Structured catalogue + 'tectonic summary' text</t>
  </si>
  <si>
    <t xml:space="preserve">Earthquakes</t>
  </si>
  <si>
    <t xml:space="preserve">https://earthquake.usgs.gov/</t>
  </si>
  <si>
    <t xml:space="preserve">Yes (GeoJSON/CSV API)</t>
  </si>
  <si>
    <t xml:space="preserve">Explains seismic anomalies</t>
  </si>
  <si>
    <t xml:space="preserve">Event table + narratives</t>
  </si>
  <si>
    <t xml:space="preserve">Weather (US)</t>
  </si>
  <si>
    <t xml:space="preserve">https://www.ncei.noaa.gov/stormevents/</t>
  </si>
  <si>
    <t xml:space="preserve">Yes (CSV)</t>
  </si>
  <si>
    <t xml:space="preserve">Dated text explanations per event</t>
  </si>
  <si>
    <t xml:space="preserve">IMGW-PIB bulletins and reports (Biuletyn Monitoringu Klimatu Polski, Klimat Polski, flood communiqués)</t>
  </si>
  <si>
    <t xml:space="preserve">Expert reports (PL)</t>
  </si>
  <si>
    <t xml:space="preserve">Weather/hydrology PL</t>
  </si>
  <si>
    <t xml:space="preserve">https://klimat.imgw.pl/ ; https://imgw.pl/</t>
  </si>
  <si>
    <t xml:space="preserve">Free to read; attribution</t>
  </si>
  <si>
    <t xml:space="preserve">PDF text (Polish)</t>
  </si>
  <si>
    <t xml:space="preserve">Polish-language grounding for RAG</t>
  </si>
  <si>
    <t xml:space="preserve">GIOŚ 'Ocena jakości powietrza w strefach w Polsce'</t>
  </si>
  <si>
    <t xml:space="preserve">https://powietrze.gios.gov.pl/</t>
  </si>
  <si>
    <t xml:space="preserve">Free to read</t>
  </si>
  <si>
    <t xml:space="preserve">PDF</t>
  </si>
  <si>
    <t xml:space="preserve">Explains smog seasons and episodes</t>
  </si>
  <si>
    <t xml:space="preserve">EEA reports (Air quality in Europe, etc.)</t>
  </si>
  <si>
    <t xml:space="preserve">Expert reports</t>
  </si>
  <si>
    <t xml:space="preserve">Environment EU</t>
  </si>
  <si>
    <t xml:space="preserve">https://www.eea.europa.eu/</t>
  </si>
  <si>
    <t xml:space="preserve">CC BY 4.0 (most content)</t>
  </si>
  <si>
    <t xml:space="preserve">Licence-friendly for RAG</t>
  </si>
  <si>
    <t xml:space="preserve">Copernicus C3S monthly climate bulletins</t>
  </si>
  <si>
    <t xml:space="preserve">Expert bulletins</t>
  </si>
  <si>
    <t xml:space="preserve">Climate</t>
  </si>
  <si>
    <t xml:space="preserve">https://climate.copernicus.eu/climate-bulletins</t>
  </si>
  <si>
    <t xml:space="preserve">HTML</t>
  </si>
  <si>
    <t xml:space="preserve">Monthly explanations of temperature/precipitation anomalies</t>
  </si>
  <si>
    <t xml:space="preserve">Wikipedia / Portal:Current events / Wikinews</t>
  </si>
  <si>
    <t xml:space="preserve">Encyclopedia + dated news</t>
  </si>
  <si>
    <t xml:space="preserve">All</t>
  </si>
  <si>
    <t xml:space="preserve">https://en.wikipedia.org/wiki/Portal:Current_events</t>
  </si>
  <si>
    <t xml:space="preserve">CC BY-SA 4.0 (Wikinews CC BY 2.5)</t>
  </si>
  <si>
    <t xml:space="preserve">Yes (API, dumps)</t>
  </si>
  <si>
    <t xml:space="preserve">Broadest dated event text; cite carefully</t>
  </si>
  <si>
    <t xml:space="preserve">python-holidays</t>
  </si>
  <si>
    <t xml:space="preserve">Structured calendar</t>
  </si>
  <si>
    <t xml:space="preserve">Calendar effects</t>
  </si>
  <si>
    <t xml:space="preserve">https://pypi.org/project/holidays/</t>
  </si>
  <si>
    <t xml:space="preserve">MIT</t>
  </si>
  <si>
    <t xml:space="preserve">Explains holiday anomalies (incl. Poland)</t>
  </si>
  <si>
    <t xml:space="preserve">Stull, Practical Meteorology (UBC)</t>
  </si>
  <si>
    <t xml:space="preserve">Open textbook</t>
  </si>
  <si>
    <t xml:space="preserve">Meteorology, radiation</t>
  </si>
  <si>
    <t xml:space="preserve">https://www.eoas.ubc.ca/books/Practical_Meteorology/</t>
  </si>
  <si>
    <t xml:space="preserve">Creative Commons (see book)</t>
  </si>
  <si>
    <t xml:space="preserve">Physics of radiation, pressure waves, fronts</t>
  </si>
  <si>
    <t xml:space="preserve">OpenStax Astronomy 2e</t>
  </si>
  <si>
    <t xml:space="preserve">Astronomy, Sun, eclipses</t>
  </si>
  <si>
    <t xml:space="preserve">https://openstax.org/books/astronomy-2e</t>
  </si>
  <si>
    <t xml:space="preserve">CC BY-NC-SA 4.0 + NO generative-AI ingestion without permission</t>
  </si>
  <si>
    <t xml:space="preserve">HTML/PDF</t>
  </si>
  <si>
    <t xml:space="preserve">Read and cite only – do NOT put into a RAG index without permission</t>
  </si>
  <si>
    <t xml:space="preserve">LITFL ECG Library</t>
  </si>
  <si>
    <t xml:space="preserve">Open educational site</t>
  </si>
  <si>
    <t xml:space="preserve">ECG</t>
  </si>
  <si>
    <t xml:space="preserve">https://litfl.com/ecg-library/</t>
  </si>
  <si>
    <t xml:space="preserve">CC BY-NC-SA 4.0</t>
  </si>
  <si>
    <t xml:space="preserve">Beat/rhythm explanations for ECG anomalies</t>
  </si>
  <si>
    <t xml:space="preserve">PhysioNet database documentation</t>
  </si>
  <si>
    <t xml:space="preserve">Data documentation</t>
  </si>
  <si>
    <t xml:space="preserve">Physiology</t>
  </si>
  <si>
    <t xml:space="preserve">https://physionet.org/</t>
  </si>
  <si>
    <t xml:space="preserve">ODC-By / CC BY (per database)</t>
  </si>
  <si>
    <t xml:space="preserve">Per-record clinical notes</t>
  </si>
  <si>
    <t xml:space="preserve">Hyndman &amp; Athanasopoulos, Forecasting: Principles and Practice (3e)</t>
  </si>
  <si>
    <t xml:space="preserve">Free online textbook</t>
  </si>
  <si>
    <t xml:space="preserve">Methods</t>
  </si>
  <si>
    <t xml:space="preserve">https://otexts.com/fpp3/</t>
  </si>
  <si>
    <t xml:space="preserve">Free online (check licence)</t>
  </si>
  <si>
    <t xml:space="preserve">Decomposition, anomalies vs. seasonality</t>
  </si>
  <si>
    <t xml:space="preserve">UCR Matrix Profile pages (E. Keogh)</t>
  </si>
  <si>
    <t xml:space="preserve">Papers + tutorials</t>
  </si>
  <si>
    <t xml:space="preserve">https://www.cs.ucr.edu/~eamonn/MatrixProfile.html</t>
  </si>
  <si>
    <t xml:space="preserve">Free PDFs</t>
  </si>
  <si>
    <t xml:space="preserve">Motifs, discords, similarity search</t>
  </si>
  <si>
    <t xml:space="preserve">STUMPY documentation</t>
  </si>
  <si>
    <t xml:space="preserve">Software docs</t>
  </si>
  <si>
    <t xml:space="preserve">https://stumpy.readthedocs.io/</t>
  </si>
  <si>
    <t xml:space="preserve">BSD-3</t>
  </si>
  <si>
    <t xml:space="preserve">Used in the proof-of-concept</t>
  </si>
  <si>
    <t xml:space="preserve">arXiv / DOAJ / DOAB</t>
  </si>
  <si>
    <t xml:space="preserve">Open-access literature indexes</t>
  </si>
  <si>
    <t xml:space="preserve">https://arxiv.org ; https://doaj.org ; https://www.doabooks.org</t>
  </si>
  <si>
    <t xml:space="preserve">Per item (often CC BY)</t>
  </si>
  <si>
    <t xml:space="preserve">Yes (APIs)</t>
  </si>
  <si>
    <t xml:space="preserve">Prefer CC BY items for a RAG corpus</t>
  </si>
  <si>
    <t xml:space="preserve">Database (from your SGH list)</t>
  </si>
  <si>
    <t xml:space="preserve">How it helps this project</t>
  </si>
  <si>
    <t xml:space="preserve">Example search terms</t>
  </si>
  <si>
    <t xml:space="preserve">Directory of Open Access Journals (DOAJ)</t>
  </si>
  <si>
    <t xml:space="preserve">Free</t>
  </si>
  <si>
    <t xml:space="preserve">All domains – OA articles that can be cited and often legally indexed (CC BY)</t>
  </si>
  <si>
    <t xml:space="preserve">e.g. 'solar eclipse photovoltaic', 'geomagnetic storm power grid', 'time series anomaly detection'</t>
  </si>
  <si>
    <t xml:space="preserve">Taylor &amp; Francis Open Access Books</t>
  </si>
  <si>
    <t xml:space="preserve">Methods &amp; domain books under OA licences</t>
  </si>
  <si>
    <t xml:space="preserve">time series analysis, anomaly detection, hydrology</t>
  </si>
  <si>
    <t xml:space="preserve">Otwórz Książkę</t>
  </si>
  <si>
    <t xml:space="preserve">Polish academic books (OA)</t>
  </si>
  <si>
    <t xml:space="preserve">szeregi czasowe, hydrologia, klimat Polski</t>
  </si>
  <si>
    <t xml:space="preserve">Biblioteka Nauki</t>
  </si>
  <si>
    <t xml:space="preserve">Polish journals (full text) – hydrology, meteorology, energy, statistics</t>
  </si>
  <si>
    <t xml:space="preserve">powódź 2024, smog, fotowoltaika KSE, wykrywanie anomalii</t>
  </si>
  <si>
    <t xml:space="preserve">BazTech</t>
  </si>
  <si>
    <t xml:space="preserve">Polish technical literature – energy, environment, water engineering</t>
  </si>
  <si>
    <t xml:space="preserve">Przegląd Elektrotechniczny, Rynek Energii, Gospodarka Wodna</t>
  </si>
  <si>
    <t xml:space="preserve">Bibliografia Geografii Polskiej</t>
  </si>
  <si>
    <t xml:space="preserve">Polish climatology &amp; hydrology literature</t>
  </si>
  <si>
    <t xml:space="preserve">IMGW, niż genueński, wezbrania</t>
  </si>
  <si>
    <t xml:space="preserve">Bibliografia Geologiczna Polski</t>
  </si>
  <si>
    <t xml:space="preserve">Seismology/geology (if the seismic domain is chosen)</t>
  </si>
  <si>
    <t xml:space="preserve">wstrząsy górnicze, sejsmologia</t>
  </si>
  <si>
    <t xml:space="preserve">AGRO</t>
  </si>
  <si>
    <t xml:space="preserve">Agro-meteorology (droughts, frost)</t>
  </si>
  <si>
    <t xml:space="preserve">susza rolnicza, przymrozki</t>
  </si>
  <si>
    <t xml:space="preserve">CEON Repozytorium / RepOD</t>
  </si>
  <si>
    <t xml:space="preserve">Polish OA repository and Polish open research data (RepOD = datasets!)</t>
  </si>
  <si>
    <t xml:space="preserve">search RepOD for meteorological, hydrological, energy datasets</t>
  </si>
  <si>
    <t xml:space="preserve">Nauka Polska</t>
  </si>
  <si>
    <t xml:space="preserve">Find Polish experts and projects (possible consultants for ground truth)</t>
  </si>
  <si>
    <t xml:space="preserve">IMGW, IGF PAN, CBK PAN researchers</t>
  </si>
  <si>
    <t xml:space="preserve">Eurostat / Portal GUS / Roczniki Statystyczne</t>
  </si>
  <si>
    <t xml:space="preserve">Free / login</t>
  </si>
  <si>
    <t xml:space="preserve">Official statistics; energy and environment tables; context for anomalies</t>
  </si>
  <si>
    <t xml:space="preserve">nrg_cb_pem (monthly electricity), GUS BDL</t>
  </si>
  <si>
    <t xml:space="preserve">EU Bookshop</t>
  </si>
  <si>
    <t xml:space="preserve">EU / JRC / EEA publications (e.g. PV status reports, air-quality reports)</t>
  </si>
  <si>
    <t xml:space="preserve">JRC PV status report, EEA air quality</t>
  </si>
  <si>
    <t xml:space="preserve">EUR-Lex</t>
  </si>
  <si>
    <t xml:space="preserve">Network codes and regulations (context for grid incidents)</t>
  </si>
  <si>
    <t xml:space="preserve">Commission Regulation (EU) 2017/1485 (system operation)</t>
  </si>
  <si>
    <t xml:space="preserve">IEA Electricity Information Statistics</t>
  </si>
  <si>
    <t xml:space="preserve">Login</t>
  </si>
  <si>
    <t xml:space="preserve">Monthly electricity statistics by country incl. Poland</t>
  </si>
  <si>
    <t xml:space="preserve">monthly net production by source</t>
  </si>
  <si>
    <t xml:space="preserve">OECD iLibrary / UN iLibrary</t>
  </si>
  <si>
    <t xml:space="preserve">Energy &amp; environment outlooks, statistics</t>
  </si>
  <si>
    <t xml:space="preserve">Energy Policy Reviews: Poland</t>
  </si>
  <si>
    <t xml:space="preserve">Science Direct (Elsevier)</t>
  </si>
  <si>
    <t xml:space="preserve">Key domain journals: Solar Energy, Journal of Hydrology, Atmospheric Environment, JASTP; methods: Pattern Recognition, Information Sciences</t>
  </si>
  <si>
    <t xml:space="preserve">eclipse PV ramp, flood wave propagation, matrix profile</t>
  </si>
  <si>
    <t xml:space="preserve">Wiley Online Library</t>
  </si>
  <si>
    <t xml:space="preserve">AGU journals: Space Weather, JGR, GRL (many OA); statistics journals</t>
  </si>
  <si>
    <t xml:space="preserve">Gannon storm, Hunga Tonga Lamb wave</t>
  </si>
  <si>
    <t xml:space="preserve">Springer Link</t>
  </si>
  <si>
    <t xml:space="preserve">Books: Aggarwal 'Outlier Analysis'; Data Mining and Knowledge Discovery; space-weather and hydrology books</t>
  </si>
  <si>
    <t xml:space="preserve">time series similarity search, discord discovery</t>
  </si>
  <si>
    <t xml:space="preserve">Oxford Academic</t>
  </si>
  <si>
    <t xml:space="preserve">MNRAS (astronomy), European Heart Journal (ECG)</t>
  </si>
  <si>
    <t xml:space="preserve">eclipsing binaries, premature beats</t>
  </si>
  <si>
    <t xml:space="preserve">Cambridge Core / JSTOR / SAGE / Emerald / T&amp;F Online</t>
  </si>
  <si>
    <t xml:space="preserve">Textbooks and older literature (statistics, geophysics)</t>
  </si>
  <si>
    <t xml:space="preserve">time series, geomagnetism</t>
  </si>
  <si>
    <t xml:space="preserve">HighWire Press</t>
  </si>
  <si>
    <t xml:space="preserve">Free full text of many medical/scientific journals (ECG domain)</t>
  </si>
  <si>
    <t xml:space="preserve">premature atrial contraction ECG</t>
  </si>
  <si>
    <t xml:space="preserve">Scopus / Web of Science / JCR / ISI Highly Cited</t>
  </si>
  <si>
    <t xml:space="preserve">Login / free</t>
  </si>
  <si>
    <t xml:space="preserve">Systematic literature review, choosing high-impact references</t>
  </si>
  <si>
    <t xml:space="preserve">TITLE-ABS-KEY(time series AND anomaly AND explanation)</t>
  </si>
  <si>
    <t xml:space="preserve">DART-Europe e-Theses</t>
  </si>
  <si>
    <t xml:space="preserve">Related PhD/MSc theses on anomaly detection &amp; RAG</t>
  </si>
  <si>
    <t xml:space="preserve">time series anomaly explanation</t>
  </si>
  <si>
    <t xml:space="preserve">IBUK Libra / ebookpoint BIBLIO / Pearson eBooks</t>
  </si>
  <si>
    <t xml:space="preserve">Polish and English textbooks: statistics, Python, ML, time series</t>
  </si>
  <si>
    <t xml:space="preserve">analiza szeregów czasowych, Python uczenie maszynowe</t>
  </si>
  <si>
    <t xml:space="preserve">Biuro Analiz Sejmowych, PISM, OSW</t>
  </si>
  <si>
    <t xml:space="preserve">Polish expert analyses (flood response, energy security) – Polish-language explanations</t>
  </si>
  <si>
    <t xml:space="preserve">powódź 2024 analiza, bezpieczeństwo energetyczne</t>
  </si>
  <si>
    <t xml:space="preserve">Presseurop, Puls Biznesu, Onet Premium</t>
  </si>
  <si>
    <t xml:space="preserve">Press coverage = dated event descriptions (useful for an event catalogue)</t>
  </si>
  <si>
    <t xml:space="preserve">blackout, smog, eclipse PV</t>
  </si>
  <si>
    <t xml:space="preserve">Not relevant for this project</t>
  </si>
  <si>
    <t xml:space="preserve">LSEG Workspace, Orbis, EMIS, CEIC, Passport, Ceduła GPW, Bloomberg Tax, IBFD, INFORLEX, Lex, Legalis, NBER, WTO iLibrary, ProQuest One Business, BazEkon, CEJSH, BazHum and other social-science/finance/legal bases are finance-, law- or company-oriented. Use them only if you pick an economic domain.</t>
  </si>
  <si>
    <t xml:space="preserve">Note: full-text databases behind SGH login are for reading and citing. Their licences usually forbid bulk download, text-and-data mining or putting the texts into an AI/RAG index; check each licence before automating anything.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</si>
</sst>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B3"/>
        <bgColor rgb="FFFFFF99"/>
      </patternFill>
    </fill>
    <fill>
      <patternFill patternType="solid">
        <fgColor rgb="FF2A78D6"/>
        <bgColor rgb="FF256ABF"/>
      </patternFill>
    </fill>
    <fill>
      <patternFill patternType="solid">
        <fgColor rgb="FF184F95"/>
        <bgColor rgb="FF256ABF"/>
      </patternFill>
    </fill>
    <fill>
      <patternFill patternType="solid">
        <fgColor rgb="FF256ABF"/>
        <bgColor rgb="FF2A78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A78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84F95"/>
          <bgColor rgb="FF000000"/>
        </patternFill>
      </fill>
    </dxf>
    <dxf>
      <fill>
        <patternFill patternType="solid">
          <fgColor rgb="FF256AB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B3"/>
      <rgbColor rgb="FFCCFFFF"/>
      <rgbColor rgb="FF660066"/>
      <rgbColor rgb="FFFF8080"/>
      <rgbColor rgb="FF256AB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84F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F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1" min="10" style="0" width="28"/>
    <col collapsed="false" customWidth="true" hidden="false" outlineLevel="0" max="13" min="12" style="0" width="38"/>
    <col collapsed="false" customWidth="true" hidden="false" outlineLevel="0" max="14" min="14" style="0" width="9"/>
    <col collapsed="false" customWidth="true" hidden="false" outlineLevel="0" max="23" min="15" style="0" width="10"/>
    <col collapsed="false" customWidth="true" hidden="false" outlineLevel="0" max="24" min="24" style="0" width="9"/>
    <col collapsed="false" customWidth="true" hidden="false" outlineLevel="0" max="25" min="25" style="0" width="11"/>
    <col collapsed="false" customWidth="true" hidden="false" outlineLevel="0" max="26" min="26" style="0" width="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N2" s="2" t="s">
        <v>1</v>
      </c>
      <c r="O2" s="3" t="n">
        <v>2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</row>
    <row r="3" customFormat="false" ht="54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5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  <c r="W3" s="4" t="s">
        <v>24</v>
      </c>
      <c r="X3" s="4" t="s">
        <v>25</v>
      </c>
      <c r="Y3" s="4" t="s">
        <v>26</v>
      </c>
      <c r="Z3" s="4" t="s">
        <v>27</v>
      </c>
    </row>
    <row r="4" customFormat="false" ht="43.25" hidden="false" customHeight="false" outlineLevel="0" collapsed="false">
      <c r="A4" s="7" t="s">
        <v>28</v>
      </c>
      <c r="B4" s="7" t="s">
        <v>29</v>
      </c>
      <c r="C4" s="7" t="s">
        <v>30</v>
      </c>
      <c r="D4" s="8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7" t="s">
        <v>39</v>
      </c>
      <c r="M4" s="7" t="s">
        <v>40</v>
      </c>
      <c r="N4" s="7" t="s">
        <v>41</v>
      </c>
      <c r="O4" s="9" t="n">
        <v>5</v>
      </c>
      <c r="P4" s="9" t="n">
        <v>5</v>
      </c>
      <c r="Q4" s="9" t="n">
        <v>5</v>
      </c>
      <c r="R4" s="9" t="n">
        <v>4</v>
      </c>
      <c r="S4" s="9" t="n">
        <v>4</v>
      </c>
      <c r="T4" s="9" t="n">
        <v>5</v>
      </c>
      <c r="U4" s="9" t="n">
        <v>4</v>
      </c>
      <c r="V4" s="9" t="n">
        <v>5</v>
      </c>
      <c r="W4" s="10" t="n">
        <f aca="false">SUMPRODUCT($O$2:$V$2,O4:V4)</f>
        <v>42</v>
      </c>
      <c r="X4" s="11" t="n">
        <f aca="false">W4/(5*SUM($O$2:$V$2))</f>
        <v>0.933333333333333</v>
      </c>
      <c r="Y4" s="10" t="str">
        <f aca="false">IF(X4&gt;=0.8,"A",IF(X4&gt;=0.65,"B","C"))</f>
        <v>A</v>
      </c>
      <c r="Z4" s="9" t="n">
        <f aca="false">RANK(W4,$W$4:$W$24)</f>
        <v>1</v>
      </c>
    </row>
    <row r="5" customFormat="false" ht="22.35" hidden="false" customHeight="false" outlineLevel="0" collapsed="false">
      <c r="A5" s="7" t="s">
        <v>42</v>
      </c>
      <c r="B5" s="7" t="s">
        <v>29</v>
      </c>
      <c r="C5" s="7" t="s">
        <v>43</v>
      </c>
      <c r="D5" s="8" t="s">
        <v>44</v>
      </c>
      <c r="E5" s="7" t="s">
        <v>45</v>
      </c>
      <c r="F5" s="7" t="s">
        <v>46</v>
      </c>
      <c r="G5" s="7" t="s">
        <v>47</v>
      </c>
      <c r="H5" s="7" t="s">
        <v>35</v>
      </c>
      <c r="I5" s="7" t="s">
        <v>48</v>
      </c>
      <c r="J5" s="7" t="s">
        <v>49</v>
      </c>
      <c r="K5" s="7" t="s">
        <v>50</v>
      </c>
      <c r="L5" s="7" t="s">
        <v>51</v>
      </c>
      <c r="M5" s="7" t="s">
        <v>52</v>
      </c>
      <c r="N5" s="7" t="s">
        <v>53</v>
      </c>
      <c r="O5" s="9" t="n">
        <v>5</v>
      </c>
      <c r="P5" s="9" t="n">
        <v>5</v>
      </c>
      <c r="Q5" s="9" t="n">
        <v>5</v>
      </c>
      <c r="R5" s="9" t="n">
        <v>4</v>
      </c>
      <c r="S5" s="9" t="n">
        <v>4</v>
      </c>
      <c r="T5" s="9" t="n">
        <v>3</v>
      </c>
      <c r="U5" s="9" t="n">
        <v>4</v>
      </c>
      <c r="V5" s="9" t="n">
        <v>5</v>
      </c>
      <c r="W5" s="10" t="n">
        <f aca="false">SUMPRODUCT($O$2:$V$2,O5:V5)</f>
        <v>40</v>
      </c>
      <c r="X5" s="11" t="n">
        <f aca="false">W5/(5*SUM($O$2:$V$2))</f>
        <v>0.888888888888889</v>
      </c>
      <c r="Y5" s="10" t="str">
        <f aca="false">IF(X5&gt;=0.8,"A",IF(X5&gt;=0.65,"B","C"))</f>
        <v>A</v>
      </c>
      <c r="Z5" s="9" t="n">
        <f aca="false">RANK(W5,$W$4:$W$24)</f>
        <v>2</v>
      </c>
    </row>
    <row r="6" customFormat="false" ht="32.8" hidden="false" customHeight="false" outlineLevel="0" collapsed="false">
      <c r="A6" s="7" t="s">
        <v>54</v>
      </c>
      <c r="B6" s="7" t="s">
        <v>29</v>
      </c>
      <c r="C6" s="7" t="s">
        <v>55</v>
      </c>
      <c r="D6" s="8" t="s">
        <v>56</v>
      </c>
      <c r="E6" s="7" t="s">
        <v>57</v>
      </c>
      <c r="F6" s="7" t="s">
        <v>58</v>
      </c>
      <c r="G6" s="7" t="s">
        <v>59</v>
      </c>
      <c r="H6" s="7" t="s">
        <v>60</v>
      </c>
      <c r="I6" s="7" t="s">
        <v>61</v>
      </c>
      <c r="J6" s="7" t="s">
        <v>62</v>
      </c>
      <c r="K6" s="7" t="s">
        <v>63</v>
      </c>
      <c r="L6" s="7" t="s">
        <v>64</v>
      </c>
      <c r="M6" s="7" t="s">
        <v>65</v>
      </c>
      <c r="N6" s="7" t="s">
        <v>66</v>
      </c>
      <c r="O6" s="9" t="n">
        <v>5</v>
      </c>
      <c r="P6" s="9" t="n">
        <v>4</v>
      </c>
      <c r="Q6" s="9" t="n">
        <v>3</v>
      </c>
      <c r="R6" s="9" t="n">
        <v>3</v>
      </c>
      <c r="S6" s="9" t="n">
        <v>4</v>
      </c>
      <c r="T6" s="9" t="n">
        <v>5</v>
      </c>
      <c r="U6" s="9" t="n">
        <v>5</v>
      </c>
      <c r="V6" s="9" t="n">
        <v>4</v>
      </c>
      <c r="W6" s="10" t="n">
        <f aca="false">SUMPRODUCT($O$2:$V$2,O6:V6)</f>
        <v>38</v>
      </c>
      <c r="X6" s="11" t="n">
        <f aca="false">W6/(5*SUM($O$2:$V$2))</f>
        <v>0.844444444444444</v>
      </c>
      <c r="Y6" s="10" t="str">
        <f aca="false">IF(X6&gt;=0.8,"A",IF(X6&gt;=0.65,"B","C"))</f>
        <v>A</v>
      </c>
      <c r="Z6" s="9" t="n">
        <f aca="false">RANK(W6,$W$4:$W$24)</f>
        <v>4</v>
      </c>
    </row>
    <row r="7" customFormat="false" ht="43.25" hidden="false" customHeight="false" outlineLevel="0" collapsed="false">
      <c r="A7" s="7" t="s">
        <v>67</v>
      </c>
      <c r="B7" s="7" t="s">
        <v>29</v>
      </c>
      <c r="C7" s="7" t="s">
        <v>68</v>
      </c>
      <c r="D7" s="8" t="s">
        <v>69</v>
      </c>
      <c r="E7" s="7" t="s">
        <v>70</v>
      </c>
      <c r="F7" s="7" t="s">
        <v>71</v>
      </c>
      <c r="G7" s="7" t="s">
        <v>72</v>
      </c>
      <c r="H7" s="7" t="s">
        <v>73</v>
      </c>
      <c r="I7" s="7" t="s">
        <v>74</v>
      </c>
      <c r="J7" s="7" t="s">
        <v>75</v>
      </c>
      <c r="K7" s="7" t="s">
        <v>76</v>
      </c>
      <c r="L7" s="7" t="s">
        <v>77</v>
      </c>
      <c r="M7" s="7" t="s">
        <v>78</v>
      </c>
      <c r="N7" s="7" t="s">
        <v>79</v>
      </c>
      <c r="O7" s="9" t="n">
        <v>4</v>
      </c>
      <c r="P7" s="9" t="n">
        <v>4</v>
      </c>
      <c r="Q7" s="9" t="n">
        <v>4</v>
      </c>
      <c r="R7" s="9" t="n">
        <v>4</v>
      </c>
      <c r="S7" s="9" t="n">
        <v>5</v>
      </c>
      <c r="T7" s="9" t="n">
        <v>3</v>
      </c>
      <c r="U7" s="9" t="n">
        <v>3</v>
      </c>
      <c r="V7" s="9" t="n">
        <v>4</v>
      </c>
      <c r="W7" s="10" t="n">
        <f aca="false">SUMPRODUCT($O$2:$V$2,O7:V7)</f>
        <v>35</v>
      </c>
      <c r="X7" s="11" t="n">
        <f aca="false">W7/(5*SUM($O$2:$V$2))</f>
        <v>0.777777777777778</v>
      </c>
      <c r="Y7" s="10" t="str">
        <f aca="false">IF(X7&gt;=0.8,"A",IF(X7&gt;=0.65,"B","C"))</f>
        <v>B</v>
      </c>
      <c r="Z7" s="9" t="n">
        <f aca="false">RANK(W7,$W$4:$W$24)</f>
        <v>10</v>
      </c>
    </row>
    <row r="8" customFormat="false" ht="22.35" hidden="false" customHeight="false" outlineLevel="0" collapsed="false">
      <c r="A8" s="7" t="s">
        <v>80</v>
      </c>
      <c r="B8" s="7" t="s">
        <v>29</v>
      </c>
      <c r="C8" s="7" t="s">
        <v>81</v>
      </c>
      <c r="D8" s="8" t="s">
        <v>82</v>
      </c>
      <c r="E8" s="7" t="s">
        <v>83</v>
      </c>
      <c r="F8" s="7" t="s">
        <v>84</v>
      </c>
      <c r="G8" s="7" t="s">
        <v>85</v>
      </c>
      <c r="H8" s="7" t="s">
        <v>86</v>
      </c>
      <c r="I8" s="7" t="s">
        <v>87</v>
      </c>
      <c r="J8" s="7" t="s">
        <v>88</v>
      </c>
      <c r="K8" s="7" t="s">
        <v>89</v>
      </c>
      <c r="L8" s="7" t="s">
        <v>90</v>
      </c>
      <c r="M8" s="7" t="s">
        <v>91</v>
      </c>
      <c r="N8" s="7" t="s">
        <v>53</v>
      </c>
      <c r="O8" s="9" t="n">
        <v>3</v>
      </c>
      <c r="P8" s="9" t="n">
        <v>4</v>
      </c>
      <c r="Q8" s="9" t="n">
        <v>3</v>
      </c>
      <c r="R8" s="9" t="n">
        <v>3</v>
      </c>
      <c r="S8" s="9" t="n">
        <v>5</v>
      </c>
      <c r="T8" s="9" t="n">
        <v>3</v>
      </c>
      <c r="U8" s="9" t="n">
        <v>2</v>
      </c>
      <c r="V8" s="9" t="n">
        <v>4</v>
      </c>
      <c r="W8" s="10" t="n">
        <f aca="false">SUMPRODUCT($O$2:$V$2,O8:V8)</f>
        <v>30</v>
      </c>
      <c r="X8" s="11" t="n">
        <f aca="false">W8/(5*SUM($O$2:$V$2))</f>
        <v>0.666666666666667</v>
      </c>
      <c r="Y8" s="10" t="str">
        <f aca="false">IF(X8&gt;=0.8,"A",IF(X8&gt;=0.65,"B","C"))</f>
        <v>B</v>
      </c>
      <c r="Z8" s="9" t="n">
        <f aca="false">RANK(W8,$W$4:$W$24)</f>
        <v>16</v>
      </c>
    </row>
    <row r="9" customFormat="false" ht="32.8" hidden="false" customHeight="false" outlineLevel="0" collapsed="false">
      <c r="A9" s="7" t="s">
        <v>92</v>
      </c>
      <c r="B9" s="7" t="s">
        <v>93</v>
      </c>
      <c r="C9" s="7" t="s">
        <v>94</v>
      </c>
      <c r="D9" s="8" t="s">
        <v>95</v>
      </c>
      <c r="E9" s="7" t="s">
        <v>96</v>
      </c>
      <c r="F9" s="7" t="s">
        <v>97</v>
      </c>
      <c r="G9" s="7" t="s">
        <v>98</v>
      </c>
      <c r="H9" s="7" t="s">
        <v>99</v>
      </c>
      <c r="I9" s="7" t="s">
        <v>100</v>
      </c>
      <c r="J9" s="7" t="s">
        <v>101</v>
      </c>
      <c r="K9" s="7" t="s">
        <v>102</v>
      </c>
      <c r="L9" s="7" t="s">
        <v>103</v>
      </c>
      <c r="M9" s="7" t="s">
        <v>104</v>
      </c>
      <c r="N9" s="7" t="s">
        <v>105</v>
      </c>
      <c r="O9" s="9" t="n">
        <v>4</v>
      </c>
      <c r="P9" s="9" t="n">
        <v>4</v>
      </c>
      <c r="Q9" s="9" t="n">
        <v>5</v>
      </c>
      <c r="R9" s="9" t="n">
        <v>5</v>
      </c>
      <c r="S9" s="9" t="n">
        <v>5</v>
      </c>
      <c r="T9" s="9" t="n">
        <v>5</v>
      </c>
      <c r="U9" s="9" t="n">
        <v>2</v>
      </c>
      <c r="V9" s="9" t="n">
        <v>4</v>
      </c>
      <c r="W9" s="10" t="n">
        <f aca="false">SUMPRODUCT($O$2:$V$2,O9:V9)</f>
        <v>38</v>
      </c>
      <c r="X9" s="11" t="n">
        <f aca="false">W9/(5*SUM($O$2:$V$2))</f>
        <v>0.844444444444444</v>
      </c>
      <c r="Y9" s="10" t="str">
        <f aca="false">IF(X9&gt;=0.8,"A",IF(X9&gt;=0.65,"B","C"))</f>
        <v>A</v>
      </c>
      <c r="Z9" s="9" t="n">
        <f aca="false">RANK(W9,$W$4:$W$24)</f>
        <v>4</v>
      </c>
    </row>
    <row r="10" customFormat="false" ht="32.8" hidden="false" customHeight="false" outlineLevel="0" collapsed="false">
      <c r="A10" s="7" t="s">
        <v>106</v>
      </c>
      <c r="B10" s="7" t="s">
        <v>93</v>
      </c>
      <c r="C10" s="7" t="s">
        <v>107</v>
      </c>
      <c r="D10" s="8" t="s">
        <v>108</v>
      </c>
      <c r="E10" s="7" t="s">
        <v>109</v>
      </c>
      <c r="F10" s="7" t="s">
        <v>110</v>
      </c>
      <c r="G10" s="7" t="s">
        <v>111</v>
      </c>
      <c r="H10" s="7" t="s">
        <v>112</v>
      </c>
      <c r="I10" s="7" t="s">
        <v>113</v>
      </c>
      <c r="J10" s="7" t="s">
        <v>114</v>
      </c>
      <c r="K10" s="7" t="s">
        <v>115</v>
      </c>
      <c r="L10" s="7" t="s">
        <v>116</v>
      </c>
      <c r="M10" s="7" t="s">
        <v>117</v>
      </c>
      <c r="N10" s="7" t="s">
        <v>105</v>
      </c>
      <c r="O10" s="9" t="n">
        <v>3</v>
      </c>
      <c r="P10" s="9" t="n">
        <v>3</v>
      </c>
      <c r="Q10" s="9" t="n">
        <v>5</v>
      </c>
      <c r="R10" s="9" t="n">
        <v>5</v>
      </c>
      <c r="S10" s="9" t="n">
        <v>4</v>
      </c>
      <c r="T10" s="9" t="n">
        <v>5</v>
      </c>
      <c r="U10" s="9" t="n">
        <v>2</v>
      </c>
      <c r="V10" s="9" t="n">
        <v>3</v>
      </c>
      <c r="W10" s="10" t="n">
        <f aca="false">SUMPRODUCT($O$2:$V$2,O10:V10)</f>
        <v>33</v>
      </c>
      <c r="X10" s="11" t="n">
        <f aca="false">W10/(5*SUM($O$2:$V$2))</f>
        <v>0.733333333333333</v>
      </c>
      <c r="Y10" s="10" t="str">
        <f aca="false">IF(X10&gt;=0.8,"A",IF(X10&gt;=0.65,"B","C"))</f>
        <v>B</v>
      </c>
      <c r="Z10" s="9" t="n">
        <f aca="false">RANK(W10,$W$4:$W$24)</f>
        <v>13</v>
      </c>
    </row>
    <row r="11" customFormat="false" ht="32.8" hidden="false" customHeight="false" outlineLevel="0" collapsed="false">
      <c r="A11" s="7" t="s">
        <v>118</v>
      </c>
      <c r="B11" s="7" t="s">
        <v>93</v>
      </c>
      <c r="C11" s="7" t="s">
        <v>119</v>
      </c>
      <c r="D11" s="8" t="s">
        <v>120</v>
      </c>
      <c r="E11" s="7" t="s">
        <v>109</v>
      </c>
      <c r="F11" s="7" t="s">
        <v>121</v>
      </c>
      <c r="G11" s="7" t="s">
        <v>122</v>
      </c>
      <c r="H11" s="7" t="s">
        <v>123</v>
      </c>
      <c r="I11" s="7" t="s">
        <v>124</v>
      </c>
      <c r="J11" s="7" t="s">
        <v>125</v>
      </c>
      <c r="K11" s="7" t="s">
        <v>126</v>
      </c>
      <c r="L11" s="7" t="s">
        <v>127</v>
      </c>
      <c r="M11" s="7" t="s">
        <v>128</v>
      </c>
      <c r="N11" s="7" t="s">
        <v>53</v>
      </c>
      <c r="O11" s="9" t="n">
        <v>4</v>
      </c>
      <c r="P11" s="9" t="n">
        <v>5</v>
      </c>
      <c r="Q11" s="9" t="n">
        <v>5</v>
      </c>
      <c r="R11" s="9" t="n">
        <v>5</v>
      </c>
      <c r="S11" s="9" t="n">
        <v>4</v>
      </c>
      <c r="T11" s="9" t="n">
        <v>4</v>
      </c>
      <c r="U11" s="9" t="n">
        <v>1</v>
      </c>
      <c r="V11" s="9" t="n">
        <v>4</v>
      </c>
      <c r="W11" s="10" t="n">
        <f aca="false">SUMPRODUCT($O$2:$V$2,O11:V11)</f>
        <v>36</v>
      </c>
      <c r="X11" s="11" t="n">
        <f aca="false">W11/(5*SUM($O$2:$V$2))</f>
        <v>0.8</v>
      </c>
      <c r="Y11" s="10" t="str">
        <f aca="false">IF(X11&gt;=0.8,"A",IF(X11&gt;=0.65,"B","C"))</f>
        <v>A</v>
      </c>
      <c r="Z11" s="9" t="n">
        <f aca="false">RANK(W11,$W$4:$W$24)</f>
        <v>8</v>
      </c>
    </row>
    <row r="12" customFormat="false" ht="32.8" hidden="false" customHeight="false" outlineLevel="0" collapsed="false">
      <c r="A12" s="7" t="s">
        <v>129</v>
      </c>
      <c r="B12" s="7" t="s">
        <v>130</v>
      </c>
      <c r="C12" s="7" t="s">
        <v>131</v>
      </c>
      <c r="D12" s="8" t="s">
        <v>132</v>
      </c>
      <c r="E12" s="7" t="s">
        <v>133</v>
      </c>
      <c r="F12" s="7" t="s">
        <v>134</v>
      </c>
      <c r="G12" s="7" t="s">
        <v>135</v>
      </c>
      <c r="H12" s="7" t="s">
        <v>136</v>
      </c>
      <c r="I12" s="7" t="s">
        <v>137</v>
      </c>
      <c r="J12" s="7" t="s">
        <v>138</v>
      </c>
      <c r="K12" s="7" t="s">
        <v>139</v>
      </c>
      <c r="L12" s="7" t="s">
        <v>140</v>
      </c>
      <c r="M12" s="7" t="s">
        <v>141</v>
      </c>
      <c r="N12" s="7" t="s">
        <v>53</v>
      </c>
      <c r="O12" s="9" t="n">
        <v>4</v>
      </c>
      <c r="P12" s="9" t="n">
        <v>4</v>
      </c>
      <c r="Q12" s="9" t="n">
        <v>4</v>
      </c>
      <c r="R12" s="9" t="n">
        <v>4</v>
      </c>
      <c r="S12" s="9" t="n">
        <v>4</v>
      </c>
      <c r="T12" s="9" t="n">
        <v>4</v>
      </c>
      <c r="U12" s="9" t="n">
        <v>5</v>
      </c>
      <c r="V12" s="9" t="n">
        <v>4</v>
      </c>
      <c r="W12" s="10" t="n">
        <f aca="false">SUMPRODUCT($O$2:$V$2,O12:V12)</f>
        <v>37</v>
      </c>
      <c r="X12" s="11" t="n">
        <f aca="false">W12/(5*SUM($O$2:$V$2))</f>
        <v>0.822222222222222</v>
      </c>
      <c r="Y12" s="10" t="str">
        <f aca="false">IF(X12&gt;=0.8,"A",IF(X12&gt;=0.65,"B","C"))</f>
        <v>A</v>
      </c>
      <c r="Z12" s="9" t="n">
        <f aca="false">RANK(W12,$W$4:$W$24)</f>
        <v>6</v>
      </c>
    </row>
    <row r="13" customFormat="false" ht="22.35" hidden="false" customHeight="false" outlineLevel="0" collapsed="false">
      <c r="A13" s="7" t="s">
        <v>142</v>
      </c>
      <c r="B13" s="7" t="s">
        <v>130</v>
      </c>
      <c r="C13" s="7" t="s">
        <v>143</v>
      </c>
      <c r="D13" s="8" t="s">
        <v>144</v>
      </c>
      <c r="E13" s="7" t="s">
        <v>145</v>
      </c>
      <c r="F13" s="7" t="s">
        <v>146</v>
      </c>
      <c r="G13" s="7" t="s">
        <v>147</v>
      </c>
      <c r="H13" s="7" t="s">
        <v>148</v>
      </c>
      <c r="I13" s="7" t="s">
        <v>149</v>
      </c>
      <c r="J13" s="7" t="s">
        <v>150</v>
      </c>
      <c r="K13" s="7" t="s">
        <v>151</v>
      </c>
      <c r="L13" s="7" t="s">
        <v>152</v>
      </c>
      <c r="M13" s="7" t="s">
        <v>153</v>
      </c>
      <c r="N13" s="7" t="s">
        <v>154</v>
      </c>
      <c r="O13" s="9" t="n">
        <v>2</v>
      </c>
      <c r="P13" s="9" t="n">
        <v>5</v>
      </c>
      <c r="Q13" s="9" t="n">
        <v>4</v>
      </c>
      <c r="R13" s="9" t="n">
        <v>4</v>
      </c>
      <c r="S13" s="9" t="n">
        <v>4</v>
      </c>
      <c r="T13" s="9" t="n">
        <v>5</v>
      </c>
      <c r="U13" s="9" t="n">
        <v>1</v>
      </c>
      <c r="V13" s="9" t="n">
        <v>4</v>
      </c>
      <c r="W13" s="10" t="n">
        <f aca="false">SUMPRODUCT($O$2:$V$2,O13:V13)</f>
        <v>31</v>
      </c>
      <c r="X13" s="11" t="n">
        <f aca="false">W13/(5*SUM($O$2:$V$2))</f>
        <v>0.688888888888889</v>
      </c>
      <c r="Y13" s="10" t="str">
        <f aca="false">IF(X13&gt;=0.8,"A",IF(X13&gt;=0.65,"B","C"))</f>
        <v>B</v>
      </c>
      <c r="Z13" s="9" t="n">
        <f aca="false">RANK(W13,$W$4:$W$24)</f>
        <v>14</v>
      </c>
    </row>
    <row r="14" customFormat="false" ht="22.35" hidden="false" customHeight="false" outlineLevel="0" collapsed="false">
      <c r="A14" s="7" t="s">
        <v>155</v>
      </c>
      <c r="B14" s="7" t="s">
        <v>130</v>
      </c>
      <c r="C14" s="7" t="s">
        <v>156</v>
      </c>
      <c r="D14" s="8" t="s">
        <v>157</v>
      </c>
      <c r="E14" s="7" t="s">
        <v>133</v>
      </c>
      <c r="F14" s="7" t="s">
        <v>158</v>
      </c>
      <c r="G14" s="7" t="s">
        <v>159</v>
      </c>
      <c r="H14" s="7" t="s">
        <v>160</v>
      </c>
      <c r="I14" s="7" t="s">
        <v>161</v>
      </c>
      <c r="J14" s="7" t="s">
        <v>162</v>
      </c>
      <c r="K14" s="7" t="s">
        <v>163</v>
      </c>
      <c r="L14" s="7" t="s">
        <v>164</v>
      </c>
      <c r="M14" s="7" t="s">
        <v>165</v>
      </c>
      <c r="N14" s="7" t="s">
        <v>53</v>
      </c>
      <c r="O14" s="9" t="n">
        <v>3</v>
      </c>
      <c r="P14" s="9" t="n">
        <v>5</v>
      </c>
      <c r="Q14" s="9" t="n">
        <v>4</v>
      </c>
      <c r="R14" s="9" t="n">
        <v>5</v>
      </c>
      <c r="S14" s="9" t="n">
        <v>3</v>
      </c>
      <c r="T14" s="9" t="n">
        <v>3</v>
      </c>
      <c r="U14" s="9" t="n">
        <v>4</v>
      </c>
      <c r="V14" s="9" t="n">
        <v>4</v>
      </c>
      <c r="W14" s="10" t="n">
        <f aca="false">SUMPRODUCT($O$2:$V$2,O14:V14)</f>
        <v>34</v>
      </c>
      <c r="X14" s="11" t="n">
        <f aca="false">W14/(5*SUM($O$2:$V$2))</f>
        <v>0.755555555555556</v>
      </c>
      <c r="Y14" s="10" t="str">
        <f aca="false">IF(X14&gt;=0.8,"A",IF(X14&gt;=0.65,"B","C"))</f>
        <v>B</v>
      </c>
      <c r="Z14" s="9" t="n">
        <f aca="false">RANK(W14,$W$4:$W$24)</f>
        <v>11</v>
      </c>
    </row>
    <row r="15" customFormat="false" ht="22.35" hidden="false" customHeight="false" outlineLevel="0" collapsed="false">
      <c r="A15" s="7" t="s">
        <v>166</v>
      </c>
      <c r="B15" s="7" t="s">
        <v>130</v>
      </c>
      <c r="C15" s="7" t="s">
        <v>167</v>
      </c>
      <c r="D15" s="8" t="s">
        <v>168</v>
      </c>
      <c r="E15" s="7" t="s">
        <v>169</v>
      </c>
      <c r="F15" s="7" t="s">
        <v>170</v>
      </c>
      <c r="G15" s="7" t="s">
        <v>171</v>
      </c>
      <c r="H15" s="7" t="s">
        <v>172</v>
      </c>
      <c r="I15" s="7" t="s">
        <v>173</v>
      </c>
      <c r="J15" s="7" t="s">
        <v>174</v>
      </c>
      <c r="K15" s="7" t="s">
        <v>175</v>
      </c>
      <c r="L15" s="7" t="s">
        <v>176</v>
      </c>
      <c r="M15" s="7" t="s">
        <v>177</v>
      </c>
      <c r="N15" s="7" t="s">
        <v>53</v>
      </c>
      <c r="O15" s="9" t="n">
        <v>3</v>
      </c>
      <c r="P15" s="9" t="n">
        <v>3</v>
      </c>
      <c r="Q15" s="9" t="n">
        <v>5</v>
      </c>
      <c r="R15" s="9" t="n">
        <v>5</v>
      </c>
      <c r="S15" s="9" t="n">
        <v>2</v>
      </c>
      <c r="T15" s="9" t="n">
        <v>4</v>
      </c>
      <c r="U15" s="9" t="n">
        <v>1</v>
      </c>
      <c r="V15" s="9" t="n">
        <v>1</v>
      </c>
      <c r="W15" s="10" t="n">
        <f aca="false">SUMPRODUCT($O$2:$V$2,O15:V15)</f>
        <v>27</v>
      </c>
      <c r="X15" s="11" t="n">
        <f aca="false">W15/(5*SUM($O$2:$V$2))</f>
        <v>0.6</v>
      </c>
      <c r="Y15" s="10" t="str">
        <f aca="false">IF(X15&gt;=0.8,"A",IF(X15&gt;=0.65,"B","C"))</f>
        <v>C</v>
      </c>
      <c r="Z15" s="9" t="n">
        <f aca="false">RANK(W15,$W$4:$W$24)</f>
        <v>20</v>
      </c>
    </row>
    <row r="16" customFormat="false" ht="43.25" hidden="false" customHeight="false" outlineLevel="0" collapsed="false">
      <c r="A16" s="7" t="s">
        <v>178</v>
      </c>
      <c r="B16" s="7" t="s">
        <v>179</v>
      </c>
      <c r="C16" s="7" t="s">
        <v>180</v>
      </c>
      <c r="D16" s="8" t="s">
        <v>181</v>
      </c>
      <c r="E16" s="7" t="s">
        <v>182</v>
      </c>
      <c r="F16" s="7" t="s">
        <v>183</v>
      </c>
      <c r="G16" s="7" t="s">
        <v>184</v>
      </c>
      <c r="H16" s="7" t="s">
        <v>185</v>
      </c>
      <c r="I16" s="7" t="s">
        <v>186</v>
      </c>
      <c r="J16" s="7" t="s">
        <v>187</v>
      </c>
      <c r="K16" s="7" t="s">
        <v>188</v>
      </c>
      <c r="L16" s="7" t="s">
        <v>189</v>
      </c>
      <c r="M16" s="7" t="s">
        <v>190</v>
      </c>
      <c r="N16" s="7" t="s">
        <v>191</v>
      </c>
      <c r="O16" s="9" t="n">
        <v>3</v>
      </c>
      <c r="P16" s="9" t="n">
        <v>4</v>
      </c>
      <c r="Q16" s="9" t="n">
        <v>4</v>
      </c>
      <c r="R16" s="9" t="n">
        <v>4</v>
      </c>
      <c r="S16" s="9" t="n">
        <v>4</v>
      </c>
      <c r="T16" s="9" t="n">
        <v>5</v>
      </c>
      <c r="U16" s="9" t="n">
        <v>5</v>
      </c>
      <c r="V16" s="9" t="n">
        <v>4</v>
      </c>
      <c r="W16" s="10" t="n">
        <f aca="false">SUMPRODUCT($O$2:$V$2,O16:V16)</f>
        <v>36</v>
      </c>
      <c r="X16" s="11" t="n">
        <f aca="false">W16/(5*SUM($O$2:$V$2))</f>
        <v>0.8</v>
      </c>
      <c r="Y16" s="10" t="str">
        <f aca="false">IF(X16&gt;=0.8,"A",IF(X16&gt;=0.65,"B","C"))</f>
        <v>A</v>
      </c>
      <c r="Z16" s="9" t="n">
        <f aca="false">RANK(W16,$W$4:$W$24)</f>
        <v>8</v>
      </c>
    </row>
    <row r="17" customFormat="false" ht="43.25" hidden="false" customHeight="false" outlineLevel="0" collapsed="false">
      <c r="A17" s="7" t="s">
        <v>192</v>
      </c>
      <c r="B17" s="7" t="s">
        <v>179</v>
      </c>
      <c r="C17" s="7" t="s">
        <v>193</v>
      </c>
      <c r="D17" s="8" t="s">
        <v>194</v>
      </c>
      <c r="E17" s="7" t="s">
        <v>195</v>
      </c>
      <c r="F17" s="7" t="s">
        <v>134</v>
      </c>
      <c r="G17" s="7" t="s">
        <v>196</v>
      </c>
      <c r="H17" s="7" t="s">
        <v>197</v>
      </c>
      <c r="I17" s="7" t="s">
        <v>198</v>
      </c>
      <c r="J17" s="7" t="s">
        <v>199</v>
      </c>
      <c r="K17" s="7" t="s">
        <v>200</v>
      </c>
      <c r="L17" s="7" t="s">
        <v>201</v>
      </c>
      <c r="M17" s="7" t="s">
        <v>202</v>
      </c>
      <c r="N17" s="7" t="s">
        <v>203</v>
      </c>
      <c r="O17" s="9" t="n">
        <v>4</v>
      </c>
      <c r="P17" s="9" t="n">
        <v>3</v>
      </c>
      <c r="Q17" s="9" t="n">
        <v>5</v>
      </c>
      <c r="R17" s="9" t="n">
        <v>4</v>
      </c>
      <c r="S17" s="9" t="n">
        <v>5</v>
      </c>
      <c r="T17" s="9" t="n">
        <v>4</v>
      </c>
      <c r="U17" s="9" t="n">
        <v>5</v>
      </c>
      <c r="V17" s="9" t="n">
        <v>5</v>
      </c>
      <c r="W17" s="10" t="n">
        <f aca="false">SUMPRODUCT($O$2:$V$2,O17:V17)</f>
        <v>39</v>
      </c>
      <c r="X17" s="11" t="n">
        <f aca="false">W17/(5*SUM($O$2:$V$2))</f>
        <v>0.866666666666667</v>
      </c>
      <c r="Y17" s="10" t="str">
        <f aca="false">IF(X17&gt;=0.8,"A",IF(X17&gt;=0.65,"B","C"))</f>
        <v>A</v>
      </c>
      <c r="Z17" s="9" t="n">
        <f aca="false">RANK(W17,$W$4:$W$24)</f>
        <v>3</v>
      </c>
    </row>
    <row r="18" customFormat="false" ht="22.35" hidden="false" customHeight="false" outlineLevel="0" collapsed="false">
      <c r="A18" s="7" t="s">
        <v>204</v>
      </c>
      <c r="B18" s="7" t="s">
        <v>205</v>
      </c>
      <c r="C18" s="7" t="s">
        <v>206</v>
      </c>
      <c r="D18" s="8" t="s">
        <v>207</v>
      </c>
      <c r="E18" s="7" t="s">
        <v>208</v>
      </c>
      <c r="F18" s="7" t="s">
        <v>209</v>
      </c>
      <c r="G18" s="7" t="s">
        <v>210</v>
      </c>
      <c r="H18" s="7" t="s">
        <v>211</v>
      </c>
      <c r="I18" s="7" t="s">
        <v>212</v>
      </c>
      <c r="J18" s="7" t="s">
        <v>213</v>
      </c>
      <c r="K18" s="7" t="s">
        <v>214</v>
      </c>
      <c r="L18" s="7" t="s">
        <v>215</v>
      </c>
      <c r="M18" s="7" t="s">
        <v>216</v>
      </c>
      <c r="N18" s="7" t="s">
        <v>217</v>
      </c>
      <c r="O18" s="9" t="n">
        <v>2</v>
      </c>
      <c r="P18" s="9" t="n">
        <v>3</v>
      </c>
      <c r="Q18" s="9" t="n">
        <v>5</v>
      </c>
      <c r="R18" s="9" t="n">
        <v>4</v>
      </c>
      <c r="S18" s="9" t="n">
        <v>5</v>
      </c>
      <c r="T18" s="9" t="n">
        <v>5</v>
      </c>
      <c r="U18" s="9" t="n">
        <v>1</v>
      </c>
      <c r="V18" s="9" t="n">
        <v>3</v>
      </c>
      <c r="W18" s="10" t="n">
        <f aca="false">SUMPRODUCT($O$2:$V$2,O18:V18)</f>
        <v>30</v>
      </c>
      <c r="X18" s="11" t="n">
        <f aca="false">W18/(5*SUM($O$2:$V$2))</f>
        <v>0.666666666666667</v>
      </c>
      <c r="Y18" s="10" t="str">
        <f aca="false">IF(X18&gt;=0.8,"A",IF(X18&gt;=0.65,"B","C"))</f>
        <v>B</v>
      </c>
      <c r="Z18" s="9" t="n">
        <f aca="false">RANK(W18,$W$4:$W$24)</f>
        <v>16</v>
      </c>
    </row>
    <row r="19" customFormat="false" ht="22.35" hidden="false" customHeight="false" outlineLevel="0" collapsed="false">
      <c r="A19" s="7" t="s">
        <v>218</v>
      </c>
      <c r="B19" s="7" t="s">
        <v>205</v>
      </c>
      <c r="C19" s="7" t="s">
        <v>219</v>
      </c>
      <c r="D19" s="8" t="s">
        <v>220</v>
      </c>
      <c r="E19" s="7" t="s">
        <v>221</v>
      </c>
      <c r="F19" s="7" t="s">
        <v>222</v>
      </c>
      <c r="G19" s="7" t="s">
        <v>223</v>
      </c>
      <c r="H19" s="7" t="s">
        <v>224</v>
      </c>
      <c r="I19" s="7" t="s">
        <v>225</v>
      </c>
      <c r="J19" s="7" t="s">
        <v>226</v>
      </c>
      <c r="K19" s="7" t="s">
        <v>102</v>
      </c>
      <c r="L19" s="7" t="s">
        <v>227</v>
      </c>
      <c r="M19" s="7" t="s">
        <v>228</v>
      </c>
      <c r="N19" s="7" t="s">
        <v>53</v>
      </c>
      <c r="O19" s="9" t="n">
        <v>2</v>
      </c>
      <c r="P19" s="9" t="n">
        <v>4</v>
      </c>
      <c r="Q19" s="9" t="n">
        <v>4</v>
      </c>
      <c r="R19" s="9" t="n">
        <v>4</v>
      </c>
      <c r="S19" s="9" t="n">
        <v>4</v>
      </c>
      <c r="T19" s="9" t="n">
        <v>5</v>
      </c>
      <c r="U19" s="9" t="n">
        <v>1</v>
      </c>
      <c r="V19" s="9" t="n">
        <v>3</v>
      </c>
      <c r="W19" s="10" t="n">
        <f aca="false">SUMPRODUCT($O$2:$V$2,O19:V19)</f>
        <v>29</v>
      </c>
      <c r="X19" s="11" t="n">
        <f aca="false">W19/(5*SUM($O$2:$V$2))</f>
        <v>0.644444444444445</v>
      </c>
      <c r="Y19" s="10" t="str">
        <f aca="false">IF(X19&gt;=0.8,"A",IF(X19&gt;=0.65,"B","C"))</f>
        <v>C</v>
      </c>
      <c r="Z19" s="9" t="n">
        <f aca="false">RANK(W19,$W$4:$W$24)</f>
        <v>19</v>
      </c>
    </row>
    <row r="20" customFormat="false" ht="32.8" hidden="false" customHeight="false" outlineLevel="0" collapsed="false">
      <c r="A20" s="7" t="s">
        <v>229</v>
      </c>
      <c r="B20" s="7" t="s">
        <v>230</v>
      </c>
      <c r="C20" s="7" t="s">
        <v>231</v>
      </c>
      <c r="D20" s="8" t="s">
        <v>232</v>
      </c>
      <c r="E20" s="7" t="s">
        <v>233</v>
      </c>
      <c r="F20" s="7" t="s">
        <v>234</v>
      </c>
      <c r="G20" s="7" t="s">
        <v>235</v>
      </c>
      <c r="H20" s="7" t="s">
        <v>236</v>
      </c>
      <c r="I20" s="7" t="s">
        <v>237</v>
      </c>
      <c r="J20" s="7" t="s">
        <v>238</v>
      </c>
      <c r="K20" s="7" t="s">
        <v>239</v>
      </c>
      <c r="L20" s="7" t="s">
        <v>240</v>
      </c>
      <c r="M20" s="7" t="s">
        <v>241</v>
      </c>
      <c r="N20" s="7" t="s">
        <v>53</v>
      </c>
      <c r="O20" s="9" t="n">
        <v>3</v>
      </c>
      <c r="P20" s="9" t="n">
        <v>5</v>
      </c>
      <c r="Q20" s="9" t="n">
        <v>5</v>
      </c>
      <c r="R20" s="9" t="n">
        <v>4</v>
      </c>
      <c r="S20" s="9" t="n">
        <v>4</v>
      </c>
      <c r="T20" s="9" t="n">
        <v>4</v>
      </c>
      <c r="U20" s="9" t="n">
        <v>2</v>
      </c>
      <c r="V20" s="9" t="n">
        <v>4</v>
      </c>
      <c r="W20" s="10" t="n">
        <f aca="false">SUMPRODUCT($O$2:$V$2,O20:V20)</f>
        <v>34</v>
      </c>
      <c r="X20" s="11" t="n">
        <f aca="false">W20/(5*SUM($O$2:$V$2))</f>
        <v>0.755555555555556</v>
      </c>
      <c r="Y20" s="10" t="str">
        <f aca="false">IF(X20&gt;=0.8,"A",IF(X20&gt;=0.65,"B","C"))</f>
        <v>B</v>
      </c>
      <c r="Z20" s="9" t="n">
        <f aca="false">RANK(W20,$W$4:$W$24)</f>
        <v>11</v>
      </c>
    </row>
    <row r="21" customFormat="false" ht="32.8" hidden="false" customHeight="false" outlineLevel="0" collapsed="false">
      <c r="A21" s="7" t="s">
        <v>242</v>
      </c>
      <c r="B21" s="7" t="s">
        <v>243</v>
      </c>
      <c r="C21" s="7" t="s">
        <v>244</v>
      </c>
      <c r="D21" s="8" t="s">
        <v>245</v>
      </c>
      <c r="E21" s="7" t="s">
        <v>53</v>
      </c>
      <c r="F21" s="7" t="s">
        <v>246</v>
      </c>
      <c r="G21" s="7" t="s">
        <v>247</v>
      </c>
      <c r="H21" s="7" t="s">
        <v>248</v>
      </c>
      <c r="I21" s="7" t="s">
        <v>249</v>
      </c>
      <c r="J21" s="7" t="s">
        <v>250</v>
      </c>
      <c r="K21" s="7" t="s">
        <v>251</v>
      </c>
      <c r="L21" s="7" t="s">
        <v>252</v>
      </c>
      <c r="M21" s="7" t="s">
        <v>253</v>
      </c>
      <c r="N21" s="7" t="s">
        <v>53</v>
      </c>
      <c r="O21" s="9" t="n">
        <v>1</v>
      </c>
      <c r="P21" s="9" t="n">
        <v>5</v>
      </c>
      <c r="Q21" s="9" t="n">
        <v>5</v>
      </c>
      <c r="R21" s="9" t="n">
        <v>4</v>
      </c>
      <c r="S21" s="9" t="n">
        <v>5</v>
      </c>
      <c r="T21" s="9" t="n">
        <v>4</v>
      </c>
      <c r="U21" s="9" t="n">
        <v>1</v>
      </c>
      <c r="V21" s="9" t="n">
        <v>4</v>
      </c>
      <c r="W21" s="10" t="n">
        <f aca="false">SUMPRODUCT($O$2:$V$2,O21:V21)</f>
        <v>30</v>
      </c>
      <c r="X21" s="11" t="n">
        <f aca="false">W21/(5*SUM($O$2:$V$2))</f>
        <v>0.666666666666667</v>
      </c>
      <c r="Y21" s="10" t="str">
        <f aca="false">IF(X21&gt;=0.8,"A",IF(X21&gt;=0.65,"B","C"))</f>
        <v>B</v>
      </c>
      <c r="Z21" s="9" t="n">
        <f aca="false">RANK(W21,$W$4:$W$24)</f>
        <v>16</v>
      </c>
    </row>
    <row r="22" customFormat="false" ht="22.35" hidden="false" customHeight="false" outlineLevel="0" collapsed="false">
      <c r="A22" s="7" t="s">
        <v>254</v>
      </c>
      <c r="B22" s="7" t="s">
        <v>255</v>
      </c>
      <c r="C22" s="7" t="s">
        <v>256</v>
      </c>
      <c r="D22" s="8" t="s">
        <v>257</v>
      </c>
      <c r="E22" s="7" t="s">
        <v>258</v>
      </c>
      <c r="F22" s="7" t="s">
        <v>259</v>
      </c>
      <c r="G22" s="7" t="s">
        <v>260</v>
      </c>
      <c r="H22" s="7" t="s">
        <v>261</v>
      </c>
      <c r="I22" s="7" t="s">
        <v>262</v>
      </c>
      <c r="J22" s="7" t="s">
        <v>263</v>
      </c>
      <c r="K22" s="7" t="s">
        <v>264</v>
      </c>
      <c r="L22" s="7" t="s">
        <v>265</v>
      </c>
      <c r="M22" s="7" t="s">
        <v>266</v>
      </c>
      <c r="N22" s="7" t="s">
        <v>267</v>
      </c>
      <c r="O22" s="9" t="n">
        <v>3</v>
      </c>
      <c r="P22" s="9" t="n">
        <v>5</v>
      </c>
      <c r="Q22" s="9" t="n">
        <v>5</v>
      </c>
      <c r="R22" s="9" t="n">
        <v>4</v>
      </c>
      <c r="S22" s="9" t="n">
        <v>4</v>
      </c>
      <c r="T22" s="9" t="n">
        <v>5</v>
      </c>
      <c r="U22" s="9" t="n">
        <v>4</v>
      </c>
      <c r="V22" s="9" t="n">
        <v>4</v>
      </c>
      <c r="W22" s="10" t="n">
        <f aca="false">SUMPRODUCT($O$2:$V$2,O22:V22)</f>
        <v>37</v>
      </c>
      <c r="X22" s="11" t="n">
        <f aca="false">W22/(5*SUM($O$2:$V$2))</f>
        <v>0.822222222222222</v>
      </c>
      <c r="Y22" s="10" t="str">
        <f aca="false">IF(X22&gt;=0.8,"A",IF(X22&gt;=0.65,"B","C"))</f>
        <v>A</v>
      </c>
      <c r="Z22" s="9" t="n">
        <f aca="false">RANK(W22,$W$4:$W$24)</f>
        <v>6</v>
      </c>
    </row>
    <row r="23" customFormat="false" ht="22.35" hidden="false" customHeight="false" outlineLevel="0" collapsed="false">
      <c r="A23" s="7" t="s">
        <v>268</v>
      </c>
      <c r="B23" s="7" t="s">
        <v>269</v>
      </c>
      <c r="C23" s="7" t="s">
        <v>270</v>
      </c>
      <c r="D23" s="8" t="s">
        <v>271</v>
      </c>
      <c r="E23" s="7" t="s">
        <v>272</v>
      </c>
      <c r="F23" s="7" t="s">
        <v>273</v>
      </c>
      <c r="G23" s="7" t="s">
        <v>274</v>
      </c>
      <c r="H23" s="7" t="s">
        <v>275</v>
      </c>
      <c r="I23" s="7" t="s">
        <v>276</v>
      </c>
      <c r="J23" s="7" t="s">
        <v>277</v>
      </c>
      <c r="K23" s="7" t="s">
        <v>278</v>
      </c>
      <c r="L23" s="7" t="s">
        <v>279</v>
      </c>
      <c r="M23" s="7" t="s">
        <v>280</v>
      </c>
      <c r="N23" s="7" t="s">
        <v>281</v>
      </c>
      <c r="O23" s="9" t="n">
        <v>3</v>
      </c>
      <c r="P23" s="9" t="n">
        <v>3</v>
      </c>
      <c r="Q23" s="9" t="n">
        <v>4</v>
      </c>
      <c r="R23" s="9" t="n">
        <v>4</v>
      </c>
      <c r="S23" s="9" t="n">
        <v>4</v>
      </c>
      <c r="T23" s="9" t="n">
        <v>5</v>
      </c>
      <c r="U23" s="9" t="n">
        <v>1</v>
      </c>
      <c r="V23" s="9" t="n">
        <v>4</v>
      </c>
      <c r="W23" s="10" t="n">
        <f aca="false">SUMPRODUCT($O$2:$V$2,O23:V23)</f>
        <v>31</v>
      </c>
      <c r="X23" s="11" t="n">
        <f aca="false">W23/(5*SUM($O$2:$V$2))</f>
        <v>0.688888888888889</v>
      </c>
      <c r="Y23" s="10" t="str">
        <f aca="false">IF(X23&gt;=0.8,"A",IF(X23&gt;=0.65,"B","C"))</f>
        <v>B</v>
      </c>
      <c r="Z23" s="9" t="n">
        <f aca="false">RANK(W23,$W$4:$W$24)</f>
        <v>14</v>
      </c>
    </row>
    <row r="24" customFormat="false" ht="22.35" hidden="false" customHeight="false" outlineLevel="0" collapsed="false">
      <c r="A24" s="7" t="s">
        <v>282</v>
      </c>
      <c r="B24" s="7" t="s">
        <v>283</v>
      </c>
      <c r="C24" s="7" t="s">
        <v>284</v>
      </c>
      <c r="D24" s="8" t="s">
        <v>285</v>
      </c>
      <c r="E24" s="7" t="s">
        <v>53</v>
      </c>
      <c r="F24" s="7" t="s">
        <v>286</v>
      </c>
      <c r="G24" s="7" t="s">
        <v>287</v>
      </c>
      <c r="H24" s="7" t="s">
        <v>288</v>
      </c>
      <c r="I24" s="7" t="s">
        <v>289</v>
      </c>
      <c r="J24" s="7" t="s">
        <v>290</v>
      </c>
      <c r="K24" s="7" t="s">
        <v>291</v>
      </c>
      <c r="L24" s="7" t="s">
        <v>292</v>
      </c>
      <c r="M24" s="7" t="s">
        <v>293</v>
      </c>
      <c r="N24" s="7" t="s">
        <v>294</v>
      </c>
      <c r="O24" s="9" t="n">
        <v>1</v>
      </c>
      <c r="P24" s="9" t="n">
        <v>3</v>
      </c>
      <c r="Q24" s="9" t="n">
        <v>3</v>
      </c>
      <c r="R24" s="9" t="n">
        <v>2</v>
      </c>
      <c r="S24" s="9" t="n">
        <v>4</v>
      </c>
      <c r="T24" s="9" t="n">
        <v>5</v>
      </c>
      <c r="U24" s="9" t="n">
        <v>1</v>
      </c>
      <c r="V24" s="9" t="n">
        <v>3</v>
      </c>
      <c r="W24" s="10" t="n">
        <f aca="false">SUMPRODUCT($O$2:$V$2,O24:V24)</f>
        <v>23</v>
      </c>
      <c r="X24" s="11" t="n">
        <f aca="false">W24/(5*SUM($O$2:$V$2))</f>
        <v>0.511111111111111</v>
      </c>
      <c r="Y24" s="10" t="str">
        <f aca="false">IF(X24&gt;=0.8,"A",IF(X24&gt;=0.65,"B","C"))</f>
        <v>C</v>
      </c>
      <c r="Z24" s="9" t="n">
        <f aca="false">RANK(W24,$W$4:$W$24)</f>
        <v>21</v>
      </c>
    </row>
    <row r="26" customFormat="false" ht="15" hidden="false" customHeight="false" outlineLevel="0" collapsed="false">
      <c r="A26" s="12" t="s">
        <v>295</v>
      </c>
    </row>
    <row r="27" customFormat="false" ht="15" hidden="false" customHeight="false" outlineLevel="0" collapsed="false">
      <c r="A27" s="13" t="s">
        <v>296</v>
      </c>
    </row>
    <row r="28" customFormat="false" ht="15" hidden="false" customHeight="false" outlineLevel="0" collapsed="false">
      <c r="A28" s="13" t="s">
        <v>297</v>
      </c>
    </row>
    <row r="29" customFormat="false" ht="15" hidden="false" customHeight="false" outlineLevel="0" collapsed="false">
      <c r="A29" s="13" t="s">
        <v>298</v>
      </c>
    </row>
    <row r="30" customFormat="false" ht="15" hidden="false" customHeight="false" outlineLevel="0" collapsed="false">
      <c r="A30" s="13" t="s">
        <v>299</v>
      </c>
    </row>
    <row r="31" customFormat="false" ht="15" hidden="false" customHeight="false" outlineLevel="0" collapsed="false">
      <c r="A31" s="13" t="s">
        <v>300</v>
      </c>
    </row>
    <row r="32" customFormat="false" ht="15" hidden="false" customHeight="false" outlineLevel="0" collapsed="false">
      <c r="A32" s="13" t="s">
        <v>301</v>
      </c>
    </row>
    <row r="33" customFormat="false" ht="15" hidden="false" customHeight="false" outlineLevel="0" collapsed="false">
      <c r="A33" s="13" t="s">
        <v>302</v>
      </c>
    </row>
    <row r="34" customFormat="false" ht="15" hidden="false" customHeight="false" outlineLevel="0" collapsed="false">
      <c r="A34" s="13" t="s">
        <v>303</v>
      </c>
    </row>
    <row r="35" customFormat="false" ht="15" hidden="false" customHeight="false" outlineLevel="0" collapsed="false">
      <c r="A35" s="13" t="s">
        <v>304</v>
      </c>
    </row>
  </sheetData>
  <autoFilter ref="A3:Z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36"/>
    <col collapsed="false" customWidth="true" hidden="false" outlineLevel="0" max="7" min="7" style="0" width="38"/>
    <col collapsed="false" customWidth="true" hidden="false" outlineLevel="0" max="8" min="8" style="0" width="40"/>
    <col collapsed="false" customWidth="true" hidden="false" outlineLevel="0" max="9" min="9" style="0" width="9"/>
  </cols>
  <sheetData>
    <row r="1" customFormat="false" ht="23.85" hidden="false" customHeight="false" outlineLevel="0" collapsed="false">
      <c r="A1" s="14" t="s">
        <v>305</v>
      </c>
      <c r="B1" s="14" t="s">
        <v>306</v>
      </c>
      <c r="C1" s="14" t="s">
        <v>307</v>
      </c>
      <c r="D1" s="14" t="s">
        <v>3</v>
      </c>
      <c r="E1" s="14" t="s">
        <v>308</v>
      </c>
      <c r="F1" s="14" t="s">
        <v>309</v>
      </c>
      <c r="G1" s="14" t="s">
        <v>310</v>
      </c>
      <c r="H1" s="14" t="s">
        <v>311</v>
      </c>
      <c r="I1" s="14" t="s">
        <v>15</v>
      </c>
    </row>
    <row r="2" customFormat="false" ht="22.35" hidden="false" customHeight="false" outlineLevel="0" collapsed="false">
      <c r="A2" s="7" t="s">
        <v>312</v>
      </c>
      <c r="B2" s="7" t="s">
        <v>313</v>
      </c>
      <c r="C2" s="7" t="s">
        <v>314</v>
      </c>
      <c r="D2" s="7" t="s">
        <v>315</v>
      </c>
      <c r="E2" s="7" t="s">
        <v>316</v>
      </c>
      <c r="F2" s="7" t="s">
        <v>317</v>
      </c>
      <c r="G2" s="7" t="s">
        <v>318</v>
      </c>
      <c r="H2" s="7" t="s">
        <v>319</v>
      </c>
      <c r="I2" s="7" t="s">
        <v>79</v>
      </c>
    </row>
    <row r="3" customFormat="false" ht="22.35" hidden="false" customHeight="false" outlineLevel="0" collapsed="false">
      <c r="A3" s="7" t="s">
        <v>320</v>
      </c>
      <c r="B3" s="7" t="s">
        <v>321</v>
      </c>
      <c r="C3" s="7" t="s">
        <v>322</v>
      </c>
      <c r="D3" s="7" t="s">
        <v>315</v>
      </c>
      <c r="E3" s="7" t="s">
        <v>323</v>
      </c>
      <c r="F3" s="7" t="s">
        <v>324</v>
      </c>
      <c r="G3" s="7" t="s">
        <v>325</v>
      </c>
      <c r="H3" s="7" t="s">
        <v>326</v>
      </c>
      <c r="I3" s="7" t="s">
        <v>41</v>
      </c>
    </row>
    <row r="4" customFormat="false" ht="32.8" hidden="false" customHeight="false" outlineLevel="0" collapsed="false">
      <c r="A4" s="7" t="s">
        <v>327</v>
      </c>
      <c r="B4" s="7" t="s">
        <v>328</v>
      </c>
      <c r="C4" s="7" t="s">
        <v>329</v>
      </c>
      <c r="D4" s="7" t="s">
        <v>330</v>
      </c>
      <c r="E4" s="7" t="s">
        <v>331</v>
      </c>
      <c r="F4" s="7" t="s">
        <v>332</v>
      </c>
      <c r="G4" s="7" t="s">
        <v>333</v>
      </c>
      <c r="H4" s="7" t="s">
        <v>334</v>
      </c>
      <c r="I4" s="7" t="s">
        <v>66</v>
      </c>
    </row>
    <row r="5" customFormat="false" ht="22.35" hidden="false" customHeight="false" outlineLevel="0" collapsed="false">
      <c r="A5" s="7" t="s">
        <v>335</v>
      </c>
      <c r="B5" s="7" t="s">
        <v>336</v>
      </c>
      <c r="C5" s="7" t="s">
        <v>337</v>
      </c>
      <c r="D5" s="7" t="s">
        <v>93</v>
      </c>
      <c r="E5" s="7" t="s">
        <v>338</v>
      </c>
      <c r="F5" s="7" t="s">
        <v>339</v>
      </c>
      <c r="G5" s="7" t="s">
        <v>340</v>
      </c>
      <c r="H5" s="7" t="s">
        <v>341</v>
      </c>
      <c r="I5" s="7" t="s">
        <v>342</v>
      </c>
    </row>
    <row r="6" customFormat="false" ht="22.35" hidden="false" customHeight="false" outlineLevel="0" collapsed="false">
      <c r="A6" s="7" t="s">
        <v>343</v>
      </c>
      <c r="B6" s="7" t="s">
        <v>344</v>
      </c>
      <c r="C6" s="7" t="s">
        <v>345</v>
      </c>
      <c r="D6" s="7" t="s">
        <v>93</v>
      </c>
      <c r="E6" s="7" t="s">
        <v>346</v>
      </c>
      <c r="F6" s="7" t="s">
        <v>347</v>
      </c>
      <c r="G6" s="7" t="s">
        <v>348</v>
      </c>
      <c r="H6" s="7" t="s">
        <v>349</v>
      </c>
      <c r="I6" s="7" t="s">
        <v>342</v>
      </c>
    </row>
    <row r="7" customFormat="false" ht="22.35" hidden="false" customHeight="false" outlineLevel="0" collapsed="false">
      <c r="A7" s="7" t="s">
        <v>350</v>
      </c>
      <c r="B7" s="7" t="s">
        <v>351</v>
      </c>
      <c r="C7" s="7" t="s">
        <v>352</v>
      </c>
      <c r="D7" s="7" t="s">
        <v>93</v>
      </c>
      <c r="E7" s="7" t="s">
        <v>353</v>
      </c>
      <c r="F7" s="7" t="s">
        <v>354</v>
      </c>
      <c r="G7" s="7" t="s">
        <v>355</v>
      </c>
      <c r="H7" s="7" t="s">
        <v>356</v>
      </c>
      <c r="I7" s="7" t="s">
        <v>105</v>
      </c>
    </row>
    <row r="8" customFormat="false" ht="15" hidden="false" customHeight="false" outlineLevel="0" collapsed="false">
      <c r="A8" s="7" t="s">
        <v>357</v>
      </c>
      <c r="B8" s="7" t="s">
        <v>358</v>
      </c>
      <c r="C8" s="7" t="s">
        <v>359</v>
      </c>
      <c r="D8" s="7" t="s">
        <v>93</v>
      </c>
      <c r="E8" s="7" t="s">
        <v>353</v>
      </c>
      <c r="F8" s="7" t="s">
        <v>360</v>
      </c>
      <c r="G8" s="7" t="s">
        <v>361</v>
      </c>
      <c r="H8" s="7" t="s">
        <v>362</v>
      </c>
      <c r="I8" s="7" t="s">
        <v>105</v>
      </c>
    </row>
    <row r="9" customFormat="false" ht="22.35" hidden="false" customHeight="false" outlineLevel="0" collapsed="false">
      <c r="A9" s="7" t="s">
        <v>363</v>
      </c>
      <c r="B9" s="7" t="s">
        <v>364</v>
      </c>
      <c r="C9" s="7" t="s">
        <v>365</v>
      </c>
      <c r="D9" s="7" t="s">
        <v>366</v>
      </c>
      <c r="E9" s="7" t="s">
        <v>367</v>
      </c>
      <c r="F9" s="7" t="s">
        <v>368</v>
      </c>
      <c r="G9" s="7" t="s">
        <v>369</v>
      </c>
      <c r="H9" s="7" t="s">
        <v>370</v>
      </c>
      <c r="I9" s="7" t="s">
        <v>154</v>
      </c>
    </row>
    <row r="10" customFormat="false" ht="32.8" hidden="false" customHeight="false" outlineLevel="0" collapsed="false">
      <c r="A10" s="7" t="s">
        <v>371</v>
      </c>
      <c r="B10" s="7" t="s">
        <v>372</v>
      </c>
      <c r="C10" s="7" t="s">
        <v>373</v>
      </c>
      <c r="D10" s="7" t="s">
        <v>374</v>
      </c>
      <c r="E10" s="7" t="s">
        <v>375</v>
      </c>
      <c r="F10" s="7" t="s">
        <v>376</v>
      </c>
      <c r="G10" s="7" t="s">
        <v>377</v>
      </c>
      <c r="H10" s="7" t="s">
        <v>378</v>
      </c>
      <c r="I10" s="7" t="s">
        <v>203</v>
      </c>
    </row>
    <row r="11" customFormat="false" ht="22.35" hidden="false" customHeight="false" outlineLevel="0" collapsed="false">
      <c r="A11" s="7" t="s">
        <v>379</v>
      </c>
      <c r="B11" s="7" t="s">
        <v>380</v>
      </c>
      <c r="C11" s="7" t="s">
        <v>381</v>
      </c>
      <c r="D11" s="7" t="s">
        <v>382</v>
      </c>
      <c r="E11" s="7" t="s">
        <v>383</v>
      </c>
      <c r="F11" s="7" t="s">
        <v>384</v>
      </c>
      <c r="G11" s="7" t="s">
        <v>385</v>
      </c>
      <c r="H11" s="7" t="s">
        <v>386</v>
      </c>
      <c r="I11" s="7" t="s">
        <v>191</v>
      </c>
    </row>
    <row r="12" customFormat="false" ht="22.35" hidden="false" customHeight="false" outlineLevel="0" collapsed="false">
      <c r="A12" s="7" t="s">
        <v>387</v>
      </c>
      <c r="B12" s="7" t="s">
        <v>388</v>
      </c>
      <c r="C12" s="7" t="s">
        <v>389</v>
      </c>
      <c r="D12" s="7" t="s">
        <v>382</v>
      </c>
      <c r="E12" s="7" t="s">
        <v>383</v>
      </c>
      <c r="F12" s="7" t="s">
        <v>390</v>
      </c>
      <c r="G12" s="7" t="s">
        <v>391</v>
      </c>
      <c r="H12" s="7" t="s">
        <v>392</v>
      </c>
      <c r="I12" s="7" t="s">
        <v>191</v>
      </c>
    </row>
    <row r="13" customFormat="false" ht="22.35" hidden="false" customHeight="false" outlineLevel="0" collapsed="false">
      <c r="A13" s="7" t="s">
        <v>393</v>
      </c>
      <c r="B13" s="7" t="s">
        <v>394</v>
      </c>
      <c r="C13" s="7" t="s">
        <v>395</v>
      </c>
      <c r="D13" s="7" t="s">
        <v>396</v>
      </c>
      <c r="E13" s="7" t="s">
        <v>397</v>
      </c>
      <c r="F13" s="7" t="s">
        <v>398</v>
      </c>
      <c r="G13" s="7" t="s">
        <v>399</v>
      </c>
      <c r="H13" s="7" t="s">
        <v>400</v>
      </c>
      <c r="I13" s="7" t="s">
        <v>281</v>
      </c>
    </row>
    <row r="14" customFormat="false" ht="22.35" hidden="false" customHeight="false" outlineLevel="0" collapsed="false">
      <c r="A14" s="7" t="s">
        <v>401</v>
      </c>
      <c r="B14" s="7" t="s">
        <v>402</v>
      </c>
      <c r="C14" s="7" t="s">
        <v>403</v>
      </c>
      <c r="D14" s="7" t="s">
        <v>396</v>
      </c>
      <c r="E14" s="7" t="s">
        <v>397</v>
      </c>
      <c r="F14" s="7" t="s">
        <v>404</v>
      </c>
      <c r="G14" s="7" t="s">
        <v>405</v>
      </c>
      <c r="H14" s="7" t="s">
        <v>406</v>
      </c>
      <c r="I14" s="7" t="s">
        <v>281</v>
      </c>
    </row>
    <row r="15" customFormat="false" ht="22.35" hidden="false" customHeight="false" outlineLevel="0" collapsed="false">
      <c r="A15" s="7" t="s">
        <v>407</v>
      </c>
      <c r="B15" s="7" t="s">
        <v>408</v>
      </c>
      <c r="C15" s="7" t="s">
        <v>409</v>
      </c>
      <c r="D15" s="7" t="s">
        <v>396</v>
      </c>
      <c r="E15" s="7" t="s">
        <v>397</v>
      </c>
      <c r="F15" s="7" t="s">
        <v>404</v>
      </c>
      <c r="G15" s="7" t="s">
        <v>405</v>
      </c>
      <c r="H15" s="7" t="s">
        <v>406</v>
      </c>
      <c r="I15" s="7" t="s">
        <v>281</v>
      </c>
    </row>
    <row r="16" customFormat="false" ht="22.35" hidden="false" customHeight="false" outlineLevel="0" collapsed="false">
      <c r="A16" s="7" t="s">
        <v>410</v>
      </c>
      <c r="B16" s="7" t="s">
        <v>411</v>
      </c>
      <c r="C16" s="7" t="s">
        <v>412</v>
      </c>
      <c r="D16" s="7" t="s">
        <v>396</v>
      </c>
      <c r="E16" s="7" t="s">
        <v>397</v>
      </c>
      <c r="F16" s="7" t="s">
        <v>413</v>
      </c>
      <c r="G16" s="7" t="s">
        <v>405</v>
      </c>
      <c r="H16" s="7" t="s">
        <v>406</v>
      </c>
      <c r="I16" s="7" t="s">
        <v>281</v>
      </c>
    </row>
    <row r="17" customFormat="false" ht="22.35" hidden="false" customHeight="false" outlineLevel="0" collapsed="false">
      <c r="A17" s="7" t="s">
        <v>414</v>
      </c>
      <c r="B17" s="7" t="s">
        <v>415</v>
      </c>
      <c r="C17" s="7" t="s">
        <v>416</v>
      </c>
      <c r="D17" s="7" t="s">
        <v>396</v>
      </c>
      <c r="E17" s="7" t="s">
        <v>397</v>
      </c>
      <c r="F17" s="7" t="s">
        <v>417</v>
      </c>
      <c r="G17" s="7" t="s">
        <v>418</v>
      </c>
      <c r="H17" s="7" t="s">
        <v>419</v>
      </c>
      <c r="I17" s="7" t="s">
        <v>281</v>
      </c>
    </row>
    <row r="18" customFormat="false" ht="22.35" hidden="false" customHeight="false" outlineLevel="0" collapsed="false">
      <c r="A18" s="7" t="s">
        <v>420</v>
      </c>
      <c r="B18" s="7" t="s">
        <v>421</v>
      </c>
      <c r="C18" s="7" t="s">
        <v>422</v>
      </c>
      <c r="D18" s="7" t="s">
        <v>396</v>
      </c>
      <c r="E18" s="7" t="s">
        <v>397</v>
      </c>
      <c r="F18" s="7" t="s">
        <v>423</v>
      </c>
      <c r="G18" s="7" t="s">
        <v>424</v>
      </c>
      <c r="H18" s="7" t="s">
        <v>425</v>
      </c>
      <c r="I18" s="7" t="s">
        <v>281</v>
      </c>
    </row>
    <row r="19" customFormat="false" ht="22.35" hidden="false" customHeight="false" outlineLevel="0" collapsed="false">
      <c r="A19" s="7" t="s">
        <v>426</v>
      </c>
      <c r="B19" s="7" t="s">
        <v>427</v>
      </c>
      <c r="C19" s="7" t="s">
        <v>428</v>
      </c>
      <c r="D19" s="7" t="s">
        <v>205</v>
      </c>
      <c r="E19" s="7" t="s">
        <v>429</v>
      </c>
      <c r="F19" s="7" t="s">
        <v>430</v>
      </c>
      <c r="G19" s="7" t="s">
        <v>431</v>
      </c>
      <c r="H19" s="7" t="s">
        <v>432</v>
      </c>
      <c r="I19" s="7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32"/>
    <col collapsed="false" customWidth="true" hidden="false" outlineLevel="0" max="6" min="6" style="0" width="22"/>
    <col collapsed="false" customWidth="true" hidden="false" outlineLevel="0" max="7" min="7" style="0" width="45"/>
  </cols>
  <sheetData>
    <row r="1" customFormat="false" ht="15" hidden="false" customHeight="false" outlineLevel="0" collapsed="false">
      <c r="A1" s="14" t="s">
        <v>433</v>
      </c>
      <c r="B1" s="14" t="s">
        <v>434</v>
      </c>
      <c r="C1" s="14" t="s">
        <v>3</v>
      </c>
      <c r="D1" s="14" t="s">
        <v>435</v>
      </c>
      <c r="E1" s="14" t="s">
        <v>12</v>
      </c>
      <c r="F1" s="14" t="s">
        <v>436</v>
      </c>
      <c r="G1" s="14" t="s">
        <v>437</v>
      </c>
    </row>
    <row r="2" customFormat="false" ht="22.35" hidden="false" customHeight="false" outlineLevel="0" collapsed="false">
      <c r="A2" s="7" t="s">
        <v>438</v>
      </c>
      <c r="B2" s="7" t="s">
        <v>439</v>
      </c>
      <c r="C2" s="7" t="s">
        <v>440</v>
      </c>
      <c r="D2" s="7" t="s">
        <v>441</v>
      </c>
      <c r="E2" s="7" t="s">
        <v>251</v>
      </c>
      <c r="F2" s="7" t="s">
        <v>442</v>
      </c>
      <c r="G2" s="7" t="s">
        <v>443</v>
      </c>
    </row>
    <row r="3" customFormat="false" ht="22.35" hidden="false" customHeight="false" outlineLevel="0" collapsed="false">
      <c r="A3" s="7" t="s">
        <v>444</v>
      </c>
      <c r="B3" s="7" t="s">
        <v>445</v>
      </c>
      <c r="C3" s="7" t="s">
        <v>330</v>
      </c>
      <c r="D3" s="7" t="s">
        <v>446</v>
      </c>
      <c r="E3" s="7" t="s">
        <v>447</v>
      </c>
      <c r="F3" s="7" t="s">
        <v>448</v>
      </c>
      <c r="G3" s="7" t="s">
        <v>449</v>
      </c>
    </row>
    <row r="4" customFormat="false" ht="22.35" hidden="false" customHeight="false" outlineLevel="0" collapsed="false">
      <c r="A4" s="7" t="s">
        <v>450</v>
      </c>
      <c r="B4" s="7" t="s">
        <v>451</v>
      </c>
      <c r="C4" s="7" t="s">
        <v>93</v>
      </c>
      <c r="D4" s="7" t="s">
        <v>452</v>
      </c>
      <c r="E4" s="7" t="s">
        <v>126</v>
      </c>
      <c r="F4" s="7" t="s">
        <v>453</v>
      </c>
      <c r="G4" s="7" t="s">
        <v>454</v>
      </c>
    </row>
    <row r="5" customFormat="false" ht="22.35" hidden="false" customHeight="false" outlineLevel="0" collapsed="false">
      <c r="A5" s="7" t="s">
        <v>455</v>
      </c>
      <c r="B5" s="7" t="s">
        <v>456</v>
      </c>
      <c r="C5" s="7" t="s">
        <v>93</v>
      </c>
      <c r="D5" s="7" t="s">
        <v>457</v>
      </c>
      <c r="E5" s="7" t="s">
        <v>458</v>
      </c>
      <c r="F5" s="7" t="s">
        <v>459</v>
      </c>
      <c r="G5" s="7" t="s">
        <v>460</v>
      </c>
    </row>
    <row r="6" customFormat="false" ht="15" hidden="false" customHeight="false" outlineLevel="0" collapsed="false">
      <c r="A6" s="7" t="s">
        <v>461</v>
      </c>
      <c r="B6" s="7" t="s">
        <v>462</v>
      </c>
      <c r="C6" s="7" t="s">
        <v>463</v>
      </c>
      <c r="D6" s="7" t="s">
        <v>464</v>
      </c>
      <c r="E6" s="7" t="s">
        <v>465</v>
      </c>
      <c r="F6" s="7" t="s">
        <v>466</v>
      </c>
      <c r="G6" s="7" t="s">
        <v>467</v>
      </c>
    </row>
    <row r="7" customFormat="false" ht="22.35" hidden="false" customHeight="false" outlineLevel="0" collapsed="false">
      <c r="A7" s="7" t="s">
        <v>468</v>
      </c>
      <c r="B7" s="7" t="s">
        <v>469</v>
      </c>
      <c r="C7" s="7" t="s">
        <v>470</v>
      </c>
      <c r="D7" s="7" t="s">
        <v>471</v>
      </c>
      <c r="E7" s="7" t="s">
        <v>472</v>
      </c>
      <c r="F7" s="7" t="s">
        <v>473</v>
      </c>
      <c r="G7" s="7" t="s">
        <v>474</v>
      </c>
    </row>
    <row r="8" customFormat="false" ht="22.35" hidden="false" customHeight="false" outlineLevel="0" collapsed="false">
      <c r="A8" s="7" t="s">
        <v>475</v>
      </c>
      <c r="B8" s="7" t="s">
        <v>476</v>
      </c>
      <c r="C8" s="7" t="s">
        <v>477</v>
      </c>
      <c r="D8" s="7" t="s">
        <v>478</v>
      </c>
      <c r="E8" s="7" t="s">
        <v>175</v>
      </c>
      <c r="F8" s="7" t="s">
        <v>479</v>
      </c>
      <c r="G8" s="7" t="s">
        <v>480</v>
      </c>
    </row>
    <row r="9" customFormat="false" ht="15" hidden="false" customHeight="false" outlineLevel="0" collapsed="false">
      <c r="A9" s="7" t="s">
        <v>167</v>
      </c>
      <c r="B9" s="7" t="s">
        <v>481</v>
      </c>
      <c r="C9" s="7" t="s">
        <v>482</v>
      </c>
      <c r="D9" s="7" t="s">
        <v>483</v>
      </c>
      <c r="E9" s="7" t="s">
        <v>175</v>
      </c>
      <c r="F9" s="7" t="s">
        <v>484</v>
      </c>
      <c r="G9" s="7" t="s">
        <v>485</v>
      </c>
    </row>
    <row r="10" customFormat="false" ht="32.8" hidden="false" customHeight="false" outlineLevel="0" collapsed="false">
      <c r="A10" s="7" t="s">
        <v>486</v>
      </c>
      <c r="B10" s="7" t="s">
        <v>487</v>
      </c>
      <c r="C10" s="7" t="s">
        <v>488</v>
      </c>
      <c r="D10" s="7" t="s">
        <v>489</v>
      </c>
      <c r="E10" s="7" t="s">
        <v>490</v>
      </c>
      <c r="F10" s="7" t="s">
        <v>491</v>
      </c>
      <c r="G10" s="7" t="s">
        <v>492</v>
      </c>
    </row>
    <row r="11" customFormat="false" ht="15" hidden="false" customHeight="false" outlineLevel="0" collapsed="false">
      <c r="A11" s="7" t="s">
        <v>493</v>
      </c>
      <c r="B11" s="7" t="s">
        <v>487</v>
      </c>
      <c r="C11" s="7" t="s">
        <v>382</v>
      </c>
      <c r="D11" s="7" t="s">
        <v>494</v>
      </c>
      <c r="E11" s="7" t="s">
        <v>495</v>
      </c>
      <c r="F11" s="7" t="s">
        <v>496</v>
      </c>
      <c r="G11" s="7" t="s">
        <v>497</v>
      </c>
    </row>
    <row r="12" customFormat="false" ht="15" hidden="false" customHeight="false" outlineLevel="0" collapsed="false">
      <c r="A12" s="7" t="s">
        <v>498</v>
      </c>
      <c r="B12" s="7" t="s">
        <v>499</v>
      </c>
      <c r="C12" s="7" t="s">
        <v>500</v>
      </c>
      <c r="D12" s="7" t="s">
        <v>501</v>
      </c>
      <c r="E12" s="7" t="s">
        <v>502</v>
      </c>
      <c r="F12" s="7" t="s">
        <v>459</v>
      </c>
      <c r="G12" s="7" t="s">
        <v>503</v>
      </c>
    </row>
    <row r="13" customFormat="false" ht="22.35" hidden="false" customHeight="false" outlineLevel="0" collapsed="false">
      <c r="A13" s="7" t="s">
        <v>504</v>
      </c>
      <c r="B13" s="7" t="s">
        <v>505</v>
      </c>
      <c r="C13" s="7" t="s">
        <v>506</v>
      </c>
      <c r="D13" s="7" t="s">
        <v>507</v>
      </c>
      <c r="E13" s="7" t="s">
        <v>102</v>
      </c>
      <c r="F13" s="7" t="s">
        <v>508</v>
      </c>
      <c r="G13" s="7" t="s">
        <v>509</v>
      </c>
    </row>
    <row r="14" customFormat="false" ht="15" hidden="false" customHeight="false" outlineLevel="0" collapsed="false">
      <c r="A14" s="7" t="s">
        <v>510</v>
      </c>
      <c r="B14" s="7" t="s">
        <v>511</v>
      </c>
      <c r="C14" s="7" t="s">
        <v>512</v>
      </c>
      <c r="D14" s="7" t="s">
        <v>513</v>
      </c>
      <c r="E14" s="7" t="s">
        <v>514</v>
      </c>
      <c r="F14" s="7" t="s">
        <v>515</v>
      </c>
      <c r="G14" s="7" t="s">
        <v>516</v>
      </c>
    </row>
    <row r="15" customFormat="false" ht="15" hidden="false" customHeight="false" outlineLevel="0" collapsed="false">
      <c r="A15" s="7" t="s">
        <v>517</v>
      </c>
      <c r="B15" s="7" t="s">
        <v>518</v>
      </c>
      <c r="C15" s="7" t="s">
        <v>519</v>
      </c>
      <c r="D15" s="7" t="s">
        <v>520</v>
      </c>
      <c r="E15" s="7" t="s">
        <v>521</v>
      </c>
      <c r="F15" s="7" t="s">
        <v>466</v>
      </c>
      <c r="G15" s="7" t="s">
        <v>522</v>
      </c>
    </row>
    <row r="16" customFormat="false" ht="22.35" hidden="false" customHeight="false" outlineLevel="0" collapsed="false">
      <c r="A16" s="7" t="s">
        <v>523</v>
      </c>
      <c r="B16" s="7" t="s">
        <v>524</v>
      </c>
      <c r="C16" s="7" t="s">
        <v>525</v>
      </c>
      <c r="D16" s="7" t="s">
        <v>526</v>
      </c>
      <c r="E16" s="7" t="s">
        <v>527</v>
      </c>
      <c r="F16" s="7" t="s">
        <v>496</v>
      </c>
      <c r="G16" s="7" t="s">
        <v>528</v>
      </c>
    </row>
    <row r="17" customFormat="false" ht="22.35" hidden="false" customHeight="false" outlineLevel="0" collapsed="false">
      <c r="A17" s="7" t="s">
        <v>529</v>
      </c>
      <c r="B17" s="7" t="s">
        <v>524</v>
      </c>
      <c r="C17" s="7" t="s">
        <v>530</v>
      </c>
      <c r="D17" s="7" t="s">
        <v>531</v>
      </c>
      <c r="E17" s="7" t="s">
        <v>532</v>
      </c>
      <c r="F17" s="7" t="s">
        <v>533</v>
      </c>
      <c r="G17" s="7" t="s">
        <v>534</v>
      </c>
    </row>
    <row r="18" customFormat="false" ht="15" hidden="false" customHeight="false" outlineLevel="0" collapsed="false">
      <c r="A18" s="7" t="s">
        <v>535</v>
      </c>
      <c r="B18" s="7" t="s">
        <v>536</v>
      </c>
      <c r="C18" s="7" t="s">
        <v>537</v>
      </c>
      <c r="D18" s="7" t="s">
        <v>538</v>
      </c>
      <c r="E18" s="7" t="s">
        <v>539</v>
      </c>
      <c r="F18" s="7" t="s">
        <v>508</v>
      </c>
      <c r="G18" s="7" t="s">
        <v>540</v>
      </c>
    </row>
    <row r="19" customFormat="false" ht="15" hidden="false" customHeight="false" outlineLevel="0" collapsed="false">
      <c r="A19" s="7" t="s">
        <v>541</v>
      </c>
      <c r="B19" s="7" t="s">
        <v>542</v>
      </c>
      <c r="C19" s="7" t="s">
        <v>543</v>
      </c>
      <c r="D19" s="7" t="s">
        <v>544</v>
      </c>
      <c r="E19" s="7" t="s">
        <v>545</v>
      </c>
      <c r="F19" s="7" t="s">
        <v>508</v>
      </c>
      <c r="G19" s="7" t="s">
        <v>546</v>
      </c>
    </row>
    <row r="20" customFormat="false" ht="22.35" hidden="false" customHeight="false" outlineLevel="0" collapsed="false">
      <c r="A20" s="7" t="s">
        <v>547</v>
      </c>
      <c r="B20" s="7" t="s">
        <v>548</v>
      </c>
      <c r="C20" s="7" t="s">
        <v>549</v>
      </c>
      <c r="D20" s="7" t="s">
        <v>550</v>
      </c>
      <c r="E20" s="7" t="s">
        <v>551</v>
      </c>
      <c r="F20" s="7" t="s">
        <v>508</v>
      </c>
      <c r="G20" s="7" t="s">
        <v>552</v>
      </c>
    </row>
    <row r="21" customFormat="false" ht="15" hidden="false" customHeight="false" outlineLevel="0" collapsed="false">
      <c r="A21" s="7" t="s">
        <v>553</v>
      </c>
      <c r="B21" s="7" t="s">
        <v>554</v>
      </c>
      <c r="C21" s="7" t="s">
        <v>549</v>
      </c>
      <c r="D21" s="7" t="s">
        <v>555</v>
      </c>
      <c r="E21" s="7" t="s">
        <v>556</v>
      </c>
      <c r="F21" s="7" t="s">
        <v>496</v>
      </c>
      <c r="G21" s="7" t="s">
        <v>557</v>
      </c>
    </row>
    <row r="22" customFormat="false" ht="15" hidden="false" customHeight="false" outlineLevel="0" collapsed="false">
      <c r="A22" s="7" t="s">
        <v>558</v>
      </c>
      <c r="B22" s="7" t="s">
        <v>559</v>
      </c>
      <c r="C22" s="7" t="s">
        <v>549</v>
      </c>
      <c r="D22" s="7" t="s">
        <v>560</v>
      </c>
      <c r="E22" s="7" t="s">
        <v>561</v>
      </c>
      <c r="F22" s="7" t="s">
        <v>508</v>
      </c>
      <c r="G22" s="7" t="s">
        <v>562</v>
      </c>
    </row>
    <row r="23" customFormat="false" ht="22.35" hidden="false" customHeight="false" outlineLevel="0" collapsed="false">
      <c r="A23" s="7" t="s">
        <v>563</v>
      </c>
      <c r="B23" s="7" t="s">
        <v>564</v>
      </c>
      <c r="C23" s="7" t="s">
        <v>512</v>
      </c>
      <c r="D23" s="7" t="s">
        <v>565</v>
      </c>
      <c r="E23" s="7" t="s">
        <v>566</v>
      </c>
      <c r="F23" s="7" t="s">
        <v>567</v>
      </c>
      <c r="G23" s="7" t="s">
        <v>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4" t="s">
        <v>569</v>
      </c>
      <c r="B1" s="14" t="s">
        <v>11</v>
      </c>
      <c r="C1" s="14" t="s">
        <v>570</v>
      </c>
      <c r="D1" s="14" t="s">
        <v>571</v>
      </c>
    </row>
    <row r="2" customFormat="false" ht="22.35" hidden="false" customHeight="false" outlineLevel="0" collapsed="false">
      <c r="A2" s="7" t="s">
        <v>572</v>
      </c>
      <c r="B2" s="7" t="s">
        <v>573</v>
      </c>
      <c r="C2" s="7" t="s">
        <v>574</v>
      </c>
      <c r="D2" s="7" t="s">
        <v>575</v>
      </c>
    </row>
    <row r="3" customFormat="false" ht="15" hidden="false" customHeight="false" outlineLevel="0" collapsed="false">
      <c r="A3" s="7" t="s">
        <v>576</v>
      </c>
      <c r="B3" s="7" t="s">
        <v>573</v>
      </c>
      <c r="C3" s="7" t="s">
        <v>577</v>
      </c>
      <c r="D3" s="7" t="s">
        <v>578</v>
      </c>
    </row>
    <row r="4" customFormat="false" ht="15" hidden="false" customHeight="false" outlineLevel="0" collapsed="false">
      <c r="A4" s="7" t="s">
        <v>579</v>
      </c>
      <c r="B4" s="7" t="s">
        <v>573</v>
      </c>
      <c r="C4" s="7" t="s">
        <v>580</v>
      </c>
      <c r="D4" s="7" t="s">
        <v>581</v>
      </c>
    </row>
    <row r="5" customFormat="false" ht="15" hidden="false" customHeight="false" outlineLevel="0" collapsed="false">
      <c r="A5" s="7" t="s">
        <v>582</v>
      </c>
      <c r="B5" s="7" t="s">
        <v>573</v>
      </c>
      <c r="C5" s="7" t="s">
        <v>583</v>
      </c>
      <c r="D5" s="7" t="s">
        <v>584</v>
      </c>
    </row>
    <row r="6" customFormat="false" ht="15" hidden="false" customHeight="false" outlineLevel="0" collapsed="false">
      <c r="A6" s="7" t="s">
        <v>585</v>
      </c>
      <c r="B6" s="7" t="s">
        <v>573</v>
      </c>
      <c r="C6" s="7" t="s">
        <v>586</v>
      </c>
      <c r="D6" s="7" t="s">
        <v>587</v>
      </c>
    </row>
    <row r="7" customFormat="false" ht="15" hidden="false" customHeight="false" outlineLevel="0" collapsed="false">
      <c r="A7" s="7" t="s">
        <v>588</v>
      </c>
      <c r="B7" s="7" t="s">
        <v>573</v>
      </c>
      <c r="C7" s="7" t="s">
        <v>589</v>
      </c>
      <c r="D7" s="7" t="s">
        <v>590</v>
      </c>
    </row>
    <row r="8" customFormat="false" ht="15" hidden="false" customHeight="false" outlineLevel="0" collapsed="false">
      <c r="A8" s="7" t="s">
        <v>591</v>
      </c>
      <c r="B8" s="7" t="s">
        <v>573</v>
      </c>
      <c r="C8" s="7" t="s">
        <v>592</v>
      </c>
      <c r="D8" s="7" t="s">
        <v>593</v>
      </c>
    </row>
    <row r="9" customFormat="false" ht="15" hidden="false" customHeight="false" outlineLevel="0" collapsed="false">
      <c r="A9" s="7" t="s">
        <v>594</v>
      </c>
      <c r="B9" s="7" t="s">
        <v>573</v>
      </c>
      <c r="C9" s="7" t="s">
        <v>595</v>
      </c>
      <c r="D9" s="7" t="s">
        <v>596</v>
      </c>
    </row>
    <row r="10" customFormat="false" ht="15" hidden="false" customHeight="false" outlineLevel="0" collapsed="false">
      <c r="A10" s="7" t="s">
        <v>597</v>
      </c>
      <c r="B10" s="7" t="s">
        <v>573</v>
      </c>
      <c r="C10" s="7" t="s">
        <v>598</v>
      </c>
      <c r="D10" s="7" t="s">
        <v>599</v>
      </c>
    </row>
    <row r="11" customFormat="false" ht="15" hidden="false" customHeight="false" outlineLevel="0" collapsed="false">
      <c r="A11" s="7" t="s">
        <v>600</v>
      </c>
      <c r="B11" s="7" t="s">
        <v>573</v>
      </c>
      <c r="C11" s="7" t="s">
        <v>601</v>
      </c>
      <c r="D11" s="7" t="s">
        <v>602</v>
      </c>
    </row>
    <row r="12" customFormat="false" ht="15" hidden="false" customHeight="false" outlineLevel="0" collapsed="false">
      <c r="A12" s="7" t="s">
        <v>603</v>
      </c>
      <c r="B12" s="7" t="s">
        <v>604</v>
      </c>
      <c r="C12" s="7" t="s">
        <v>605</v>
      </c>
      <c r="D12" s="7" t="s">
        <v>606</v>
      </c>
    </row>
    <row r="13" customFormat="false" ht="15" hidden="false" customHeight="false" outlineLevel="0" collapsed="false">
      <c r="A13" s="7" t="s">
        <v>607</v>
      </c>
      <c r="B13" s="7" t="s">
        <v>573</v>
      </c>
      <c r="C13" s="7" t="s">
        <v>608</v>
      </c>
      <c r="D13" s="7" t="s">
        <v>609</v>
      </c>
    </row>
    <row r="14" customFormat="false" ht="15" hidden="false" customHeight="false" outlineLevel="0" collapsed="false">
      <c r="A14" s="7" t="s">
        <v>610</v>
      </c>
      <c r="B14" s="7" t="s">
        <v>573</v>
      </c>
      <c r="C14" s="7" t="s">
        <v>611</v>
      </c>
      <c r="D14" s="7" t="s">
        <v>612</v>
      </c>
    </row>
    <row r="15" customFormat="false" ht="15" hidden="false" customHeight="false" outlineLevel="0" collapsed="false">
      <c r="A15" s="7" t="s">
        <v>613</v>
      </c>
      <c r="B15" s="7" t="s">
        <v>614</v>
      </c>
      <c r="C15" s="7" t="s">
        <v>615</v>
      </c>
      <c r="D15" s="7" t="s">
        <v>616</v>
      </c>
    </row>
    <row r="16" customFormat="false" ht="15" hidden="false" customHeight="false" outlineLevel="0" collapsed="false">
      <c r="A16" s="7" t="s">
        <v>617</v>
      </c>
      <c r="B16" s="7" t="s">
        <v>614</v>
      </c>
      <c r="C16" s="7" t="s">
        <v>618</v>
      </c>
      <c r="D16" s="7" t="s">
        <v>619</v>
      </c>
    </row>
    <row r="17" customFormat="false" ht="22.35" hidden="false" customHeight="false" outlineLevel="0" collapsed="false">
      <c r="A17" s="7" t="s">
        <v>620</v>
      </c>
      <c r="B17" s="7" t="s">
        <v>614</v>
      </c>
      <c r="C17" s="7" t="s">
        <v>621</v>
      </c>
      <c r="D17" s="7" t="s">
        <v>622</v>
      </c>
    </row>
    <row r="18" customFormat="false" ht="15" hidden="false" customHeight="false" outlineLevel="0" collapsed="false">
      <c r="A18" s="7" t="s">
        <v>623</v>
      </c>
      <c r="B18" s="7" t="s">
        <v>614</v>
      </c>
      <c r="C18" s="7" t="s">
        <v>624</v>
      </c>
      <c r="D18" s="7" t="s">
        <v>625</v>
      </c>
    </row>
    <row r="19" customFormat="false" ht="22.35" hidden="false" customHeight="false" outlineLevel="0" collapsed="false">
      <c r="A19" s="7" t="s">
        <v>626</v>
      </c>
      <c r="B19" s="7" t="s">
        <v>614</v>
      </c>
      <c r="C19" s="7" t="s">
        <v>627</v>
      </c>
      <c r="D19" s="7" t="s">
        <v>628</v>
      </c>
    </row>
    <row r="20" customFormat="false" ht="15" hidden="false" customHeight="false" outlineLevel="0" collapsed="false">
      <c r="A20" s="7" t="s">
        <v>629</v>
      </c>
      <c r="B20" s="7" t="s">
        <v>614</v>
      </c>
      <c r="C20" s="7" t="s">
        <v>630</v>
      </c>
      <c r="D20" s="7" t="s">
        <v>631</v>
      </c>
    </row>
    <row r="21" customFormat="false" ht="22.35" hidden="false" customHeight="false" outlineLevel="0" collapsed="false">
      <c r="A21" s="7" t="s">
        <v>632</v>
      </c>
      <c r="B21" s="7" t="s">
        <v>614</v>
      </c>
      <c r="C21" s="7" t="s">
        <v>633</v>
      </c>
      <c r="D21" s="7" t="s">
        <v>634</v>
      </c>
    </row>
    <row r="22" customFormat="false" ht="15" hidden="false" customHeight="false" outlineLevel="0" collapsed="false">
      <c r="A22" s="7" t="s">
        <v>635</v>
      </c>
      <c r="B22" s="7" t="s">
        <v>573</v>
      </c>
      <c r="C22" s="7" t="s">
        <v>636</v>
      </c>
      <c r="D22" s="7" t="s">
        <v>637</v>
      </c>
    </row>
    <row r="23" customFormat="false" ht="15" hidden="false" customHeight="false" outlineLevel="0" collapsed="false">
      <c r="A23" s="7" t="s">
        <v>638</v>
      </c>
      <c r="B23" s="7" t="s">
        <v>639</v>
      </c>
      <c r="C23" s="7" t="s">
        <v>640</v>
      </c>
      <c r="D23" s="7" t="s">
        <v>641</v>
      </c>
    </row>
    <row r="24" customFormat="false" ht="15" hidden="false" customHeight="false" outlineLevel="0" collapsed="false">
      <c r="A24" s="7" t="s">
        <v>642</v>
      </c>
      <c r="B24" s="7" t="s">
        <v>573</v>
      </c>
      <c r="C24" s="7" t="s">
        <v>643</v>
      </c>
      <c r="D24" s="7" t="s">
        <v>644</v>
      </c>
    </row>
    <row r="25" customFormat="false" ht="15" hidden="false" customHeight="false" outlineLevel="0" collapsed="false">
      <c r="A25" s="7" t="s">
        <v>645</v>
      </c>
      <c r="B25" s="7" t="s">
        <v>614</v>
      </c>
      <c r="C25" s="7" t="s">
        <v>646</v>
      </c>
      <c r="D25" s="7" t="s">
        <v>647</v>
      </c>
    </row>
    <row r="26" customFormat="false" ht="15" hidden="false" customHeight="false" outlineLevel="0" collapsed="false">
      <c r="A26" s="7" t="s">
        <v>648</v>
      </c>
      <c r="B26" s="7" t="s">
        <v>573</v>
      </c>
      <c r="C26" s="7" t="s">
        <v>649</v>
      </c>
      <c r="D26" s="7" t="s">
        <v>650</v>
      </c>
    </row>
    <row r="27" customFormat="false" ht="15" hidden="false" customHeight="false" outlineLevel="0" collapsed="false">
      <c r="A27" s="7" t="s">
        <v>651</v>
      </c>
      <c r="B27" s="7" t="s">
        <v>604</v>
      </c>
      <c r="C27" s="7" t="s">
        <v>652</v>
      </c>
      <c r="D27" s="7" t="s">
        <v>653</v>
      </c>
    </row>
    <row r="28" customFormat="false" ht="43.25" hidden="false" customHeight="false" outlineLevel="0" collapsed="false">
      <c r="A28" s="7" t="s">
        <v>654</v>
      </c>
      <c r="B28" s="7" t="s">
        <v>53</v>
      </c>
      <c r="C28" s="7" t="s">
        <v>655</v>
      </c>
      <c r="D28" s="7"/>
    </row>
    <row r="30" customFormat="false" ht="15" hidden="false" customHeight="false" outlineLevel="0" collapsed="false">
      <c r="A30" s="15" t="s">
        <v>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2026-10-10T10:34:25Z</dcterms:created>
  <dc:creator>openpyxl</dc:creator>
  <dc:description/>
  <dc:language>en-US</dc:language>
  <cp:lastModifiedBy/>
  <dcterms:modified xsi:type="dcterms:W3CDTF">2026-10-10T10:34:25Z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